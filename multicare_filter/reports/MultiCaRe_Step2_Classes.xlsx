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laeb\anaconda3\BN4601a\group_project\reports\"/>
    </mc:Choice>
  </mc:AlternateContent>
  <xr:revisionPtr revIDLastSave="0" documentId="13_ncr:1_{E0781794-DA54-4853-AF33-C6104355F164}" xr6:coauthVersionLast="47" xr6:coauthVersionMax="47" xr10:uidLastSave="{00000000-0000-0000-0000-000000000000}"/>
  <bookViews>
    <workbookView xWindow="5076" yWindow="0" windowWidth="17280" windowHeight="12336" xr2:uid="{00000000-000D-0000-FFFF-FFFF00000000}"/>
  </bookViews>
  <sheets>
    <sheet name="Overview" sheetId="1" r:id="rId1"/>
    <sheet name="Data dictionary" sheetId="2" r:id="rId2"/>
    <sheet name="Image type" sheetId="3" r:id="rId3"/>
    <sheet name="Image subtype" sheetId="4" r:id="rId4"/>
    <sheet name="Type x Subtype" sheetId="5" r:id="rId5"/>
    <sheet name="Region" sheetId="6" r:id="rId6"/>
    <sheet name="Region (granular)" sheetId="7" r:id="rId7"/>
    <sheet name="View" sheetId="8" r:id="rId8"/>
    <sheet name="Licence" sheetId="9" r:id="rId9"/>
    <sheet name="Labels" sheetId="10" r:id="rId10"/>
    <sheet name="Semi labels" sheetId="11" r:id="rId11"/>
    <sheet name="Cas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2" l="1"/>
  <c r="B20" i="12"/>
  <c r="B10" i="12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E14" i="9"/>
  <c r="C15" i="8"/>
  <c r="E13" i="8"/>
  <c r="E12" i="8"/>
  <c r="E11" i="8"/>
  <c r="E10" i="8"/>
  <c r="D10" i="8"/>
  <c r="E9" i="8"/>
  <c r="D9" i="8"/>
  <c r="E8" i="8"/>
  <c r="D8" i="8"/>
  <c r="E7" i="8"/>
  <c r="D7" i="8"/>
  <c r="E6" i="8"/>
  <c r="D6" i="8"/>
  <c r="E5" i="8"/>
  <c r="D5" i="8"/>
  <c r="B25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C25" i="7" s="1"/>
  <c r="B15" i="6"/>
  <c r="D13" i="6"/>
  <c r="D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H45" i="5"/>
  <c r="G45" i="5"/>
  <c r="F45" i="5"/>
  <c r="E45" i="5"/>
  <c r="D45" i="5"/>
  <c r="C45" i="5"/>
  <c r="B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5" i="5" s="1"/>
  <c r="F45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D12" i="3"/>
  <c r="E7" i="3"/>
  <c r="E6" i="3"/>
  <c r="E5" i="3"/>
  <c r="C30" i="12" l="1"/>
  <c r="C25" i="12"/>
  <c r="C24" i="12"/>
  <c r="C29" i="12"/>
  <c r="C28" i="12"/>
  <c r="C27" i="12"/>
  <c r="C26" i="12"/>
  <c r="C14" i="12"/>
  <c r="C20" i="12" s="1"/>
  <c r="C19" i="12"/>
  <c r="C18" i="12"/>
  <c r="C17" i="12"/>
  <c r="C16" i="12"/>
  <c r="C15" i="12"/>
  <c r="C6" i="12"/>
  <c r="C10" i="12" s="1"/>
  <c r="C9" i="12"/>
  <c r="C8" i="12"/>
  <c r="C7" i="12"/>
  <c r="F9" i="9"/>
  <c r="F5" i="9"/>
  <c r="F11" i="9"/>
  <c r="F13" i="9"/>
  <c r="F8" i="9"/>
  <c r="F12" i="9"/>
  <c r="F7" i="9"/>
  <c r="F6" i="9"/>
  <c r="F10" i="9"/>
  <c r="D11" i="8"/>
  <c r="D13" i="8"/>
  <c r="D14" i="8"/>
  <c r="D12" i="8"/>
  <c r="C14" i="6"/>
  <c r="C13" i="6"/>
  <c r="C12" i="6"/>
  <c r="G10" i="4"/>
  <c r="G38" i="4"/>
  <c r="G43" i="4"/>
  <c r="G40" i="4"/>
  <c r="G41" i="4"/>
  <c r="G44" i="4"/>
  <c r="G9" i="4"/>
  <c r="G37" i="4"/>
  <c r="G8" i="4"/>
  <c r="G7" i="4"/>
  <c r="G6" i="4"/>
  <c r="G42" i="4"/>
  <c r="G5" i="4"/>
  <c r="G39" i="4"/>
  <c r="E11" i="3"/>
  <c r="E10" i="3"/>
  <c r="E9" i="3"/>
  <c r="E8" i="3"/>
  <c r="E12" i="3" s="1"/>
  <c r="G45" i="4" l="1"/>
  <c r="C15" i="6"/>
  <c r="C31" i="12"/>
  <c r="F14" i="9"/>
  <c r="D15" i="8"/>
</calcChain>
</file>

<file path=xl/sharedStrings.xml><?xml version="1.0" encoding="utf-8"?>
<sst xmlns="http://schemas.openxmlformats.org/spreadsheetml/2006/main" count="799" uniqueCount="394">
  <si>
    <t>BN4601A group project, Emergency Medicine. Generated 14 Oct 2026 from notebooks/01_explore_multicare.ipynb data.</t>
  </si>
  <si>
    <t>Key count</t>
  </si>
  <si>
    <t>Value</t>
  </si>
  <si>
    <t>Source / note</t>
  </si>
  <si>
    <t>Articles (case reports)</t>
  </si>
  <si>
    <t>OpenMed/multicare-cases, cases.parquet</t>
  </si>
  <si>
    <t>Patient cases</t>
  </si>
  <si>
    <t>One article can describe several patients</t>
  </si>
  <si>
    <t>Cases with at least 1 image</t>
  </si>
  <si>
    <t>Joined on case_id = patient_id</t>
  </si>
  <si>
    <t>Images (incl. split panels)</t>
  </si>
  <si>
    <t>OpenMed/multicare-images, both parquet shards</t>
  </si>
  <si>
    <t>Sheet</t>
  </si>
  <si>
    <t>What it shows</t>
  </si>
  <si>
    <t>Data dictionary</t>
  </si>
  <si>
    <t>Every column in the dataset, what it means, what to check by hand</t>
  </si>
  <si>
    <t>Image type</t>
  </si>
  <si>
    <t>7 broad image categories</t>
  </si>
  <si>
    <t>Image subtype</t>
  </si>
  <si>
    <t>40 modalities / stains, with parent type and plain-English meaning</t>
  </si>
  <si>
    <t>Type x Subtype</t>
  </si>
  <si>
    <t>Cross-tab confirming which subtypes belong to which type</t>
  </si>
  <si>
    <t>Region</t>
  </si>
  <si>
    <t>Coarse body region of radiology images</t>
  </si>
  <si>
    <t>Region (granular)</t>
  </si>
  <si>
    <t>Finer body region (mainly limbs)</t>
  </si>
  <si>
    <t>View</t>
  </si>
  <si>
    <t>Imaging plane / view of radiology images</t>
  </si>
  <si>
    <t>Licence</t>
  </si>
  <si>
    <t>Licence of each image's source article, and suggested use in a public Space</t>
  </si>
  <si>
    <t>Labels</t>
  </si>
  <si>
    <t>78 supervised labels (an image has several, so % does not sum to 100%)</t>
  </si>
  <si>
    <t>Semi labels</t>
  </si>
  <si>
    <t>141 extra labels from the full taxonomy</t>
  </si>
  <si>
    <t>Cases</t>
  </si>
  <si>
    <t>Gender, age bands, text length and images per case</t>
  </si>
  <si>
    <t>How to read</t>
  </si>
  <si>
    <t>- Counts are hardcoded from the data; percentages and totals are Excel formulas.</t>
  </si>
  <si>
    <t>- 'In current base filter' = used by the notebook's default FILTER (radiology x_ray/ct/ultrasound, CC BY or CC BY-NC).</t>
  </si>
  <si>
    <t>- 'ED relevance (suggested)' and 'Suggested for public Space' are our judgement calls for discussion, not dataset labels.</t>
  </si>
  <si>
    <t>- Blank region/view rows are non-radiology images (pathology, photos, charts...).</t>
  </si>
  <si>
    <t>What each column means and what to check by hand</t>
  </si>
  <si>
    <t>Column</t>
  </si>
  <si>
    <t>Level</t>
  </si>
  <si>
    <t>What it means</t>
  </si>
  <si>
    <t>What to check by hand</t>
  </si>
  <si>
    <t>case_id / patient_id</t>
  </si>
  <si>
    <t>Case</t>
  </si>
  <si>
    <t>One patient within an article, e.g. PMC10199319_01</t>
  </si>
  <si>
    <t>Join key between the two datasets; split train/val/test on this or article_id</t>
  </si>
  <si>
    <t>article_id</t>
  </si>
  <si>
    <t>PubMed Central ID of the source paper</t>
  </si>
  <si>
    <t>Several patients can share one article</t>
  </si>
  <si>
    <t>age</t>
  </si>
  <si>
    <t>Age in years parsed from the text (0 = under 1 year)</t>
  </si>
  <si>
    <t>Missing for about 9% of cases; some 'cases' describe a cohort</t>
  </si>
  <si>
    <t>gender</t>
  </si>
  <si>
    <t>Female, Male, Transgender or Unknown</t>
  </si>
  <si>
    <t>case_text</t>
  </si>
  <si>
    <t>Full case narrative: history, exam, vitals, imaging, management, outcome</t>
  </si>
  <si>
    <t>Is it really an ED presentation? Are vitals given? Is the diagnosis stated?</t>
  </si>
  <si>
    <t>image_type</t>
  </si>
  <si>
    <t>Image</t>
  </si>
  <si>
    <t>Broad image category (7 values)</t>
  </si>
  <si>
    <t>See 'Image type' sheet</t>
  </si>
  <si>
    <t>image_subtype</t>
  </si>
  <si>
    <t>Modality or stain (40 values)</t>
  </si>
  <si>
    <t>Some mislabels, e.g. angiograms labelled x_ray</t>
  </si>
  <si>
    <t>radiology_region</t>
  </si>
  <si>
    <t>Coarse body region (blank for non-radiology)</t>
  </si>
  <si>
    <t>See 'Region' sheet</t>
  </si>
  <si>
    <t>radiology_region_granular</t>
  </si>
  <si>
    <t>Finer body region, mainly for limbs</t>
  </si>
  <si>
    <t>See 'Region (granular)' sheet</t>
  </si>
  <si>
    <t>radiology_view</t>
  </si>
  <si>
    <t>Plane or view (blank for non-radiology)</t>
  </si>
  <si>
    <t>See 'View' sheet</t>
  </si>
  <si>
    <t>labels</t>
  </si>
  <si>
    <t>Supervised multilabels (reduced taxonomy); one image has several</t>
  </si>
  <si>
    <t>See 'Labels' sheet</t>
  </si>
  <si>
    <t>semi_labels</t>
  </si>
  <si>
    <t>Extra, sparser labels from the full taxonomy</t>
  </si>
  <si>
    <t>Noisier; useful extras like contrast, cta, lung_window</t>
  </si>
  <si>
    <t>caption</t>
  </si>
  <si>
    <t>Figure caption from the paper</t>
  </si>
  <si>
    <t>Often states the diagnosis or refers to arrows: answer leakage</t>
  </si>
  <si>
    <t>case_substring</t>
  </si>
  <si>
    <t>Where the case text cites the figure, e.g. 'Figure 3'</t>
  </si>
  <si>
    <t>Links a caption to the right paragraph</t>
  </si>
  <si>
    <t>main_image / image_component</t>
  </si>
  <si>
    <t>Original figure, and which panel (a, b, ... or undivided)</t>
  </si>
  <si>
    <t>Multi-panel figures were split, not always cleanly</t>
  </si>
  <si>
    <t>license</t>
  </si>
  <si>
    <t>Open-access licence of the source article</t>
  </si>
  <si>
    <t>See 'Licence' sheet before using images in a public Space</t>
  </si>
  <si>
    <t>Broad category of every image</t>
  </si>
  <si>
    <t>Meaning</t>
  </si>
  <si>
    <t>ED relevance (suggested)</t>
  </si>
  <si>
    <t>Images</t>
  </si>
  <si>
    <t>% of all images</t>
  </si>
  <si>
    <t>radiology</t>
  </si>
  <si>
    <t>Medical imaging scans: CT, MRI, X-ray, ultrasound, nuclear medicine</t>
  </si>
  <si>
    <t>High</t>
  </si>
  <si>
    <t>pathology</t>
  </si>
  <si>
    <t>Microscope images of stained tissue or cells</t>
  </si>
  <si>
    <t>Low</t>
  </si>
  <si>
    <t>medical_photograph</t>
  </si>
  <si>
    <t>Clinical photos: skin, mouth, wounds, surgical field</t>
  </si>
  <si>
    <t>Medium</t>
  </si>
  <si>
    <t>chart</t>
  </si>
  <si>
    <t>Graphs, tables and diagrams from the paper</t>
  </si>
  <si>
    <t>endoscopy</t>
  </si>
  <si>
    <t>Camera images from inside the body</t>
  </si>
  <si>
    <t>ophthalmic_imaging</t>
  </si>
  <si>
    <t>Eye imaging: retina photos, OCT, slit lamp, angiography</t>
  </si>
  <si>
    <t>electrography</t>
  </si>
  <si>
    <t>Electrical signal traces: ECG, EEG, EMG</t>
  </si>
  <si>
    <t>Total</t>
  </si>
  <si>
    <t>Modality or stain; highlighted rows are in the current base filter</t>
  </si>
  <si>
    <t>Parent image type</t>
  </si>
  <si>
    <t>In current base filter?</t>
  </si>
  <si>
    <t>ct</t>
  </si>
  <si>
    <t>Computed tomography</t>
  </si>
  <si>
    <t>Yes</t>
  </si>
  <si>
    <t>mri</t>
  </si>
  <si>
    <t>Magnetic resonance imaging</t>
  </si>
  <si>
    <t>No</t>
  </si>
  <si>
    <t>other_medical_photograph</t>
  </si>
  <si>
    <t>Clinical photo other than skin/oral, e.g. wound or specimen</t>
  </si>
  <si>
    <t>x_ray</t>
  </si>
  <si>
    <t>Plain radiograph (some fluoroscopy/angiography is also labelled x_ray)</t>
  </si>
  <si>
    <t>h&amp;e</t>
  </si>
  <si>
    <t>Haematoxylin &amp; eosin stain: standard tissue histology</t>
  </si>
  <si>
    <t>immunostaining</t>
  </si>
  <si>
    <t>Immunohistochemistry / immunofluorescence for specific proteins</t>
  </si>
  <si>
    <t>skin_photograph</t>
  </si>
  <si>
    <t>Photo of a skin lesion</t>
  </si>
  <si>
    <t>ultrasound</t>
  </si>
  <si>
    <t>Ultrasound, including echocardiography (heart ultrasound)</t>
  </si>
  <si>
    <t>Graph, table or diagram</t>
  </si>
  <si>
    <t>oral_photograph</t>
  </si>
  <si>
    <t>Photo of the mouth or teeth</t>
  </si>
  <si>
    <t>gi_endoscopy</t>
  </si>
  <si>
    <t>Gastrointestinal endoscopy, e.g. gastroscopy, colonoscopy</t>
  </si>
  <si>
    <t>pet</t>
  </si>
  <si>
    <t>Positron emission tomography</t>
  </si>
  <si>
    <t>ekg</t>
  </si>
  <si>
    <t>Electrocardiogram (ECG)</t>
  </si>
  <si>
    <t>fish</t>
  </si>
  <si>
    <t>Fluorescence in situ hybridisation (genetic probes)</t>
  </si>
  <si>
    <t>fundus_photograph</t>
  </si>
  <si>
    <t>Photo of the retina</t>
  </si>
  <si>
    <t>airway_endoscopy</t>
  </si>
  <si>
    <t>Airway endoscopy, e.g. bronchoscopy, laryngoscopy</t>
  </si>
  <si>
    <t>oct</t>
  </si>
  <si>
    <t>Optical coherence tomography (retina cross-section)</t>
  </si>
  <si>
    <t>giemsa</t>
  </si>
  <si>
    <t>Giemsa stain: blood/marrow cells, parasites</t>
  </si>
  <si>
    <t>masson_trichrome</t>
  </si>
  <si>
    <t>Masson trichrome stain: collagen, fibrosis</t>
  </si>
  <si>
    <t>slit_lamp_photograph</t>
  </si>
  <si>
    <t>Slit-lamp photo of the front of the eye</t>
  </si>
  <si>
    <t>ophthalmic_angiography</t>
  </si>
  <si>
    <t>Fluorescein / ICG angiography of the retina</t>
  </si>
  <si>
    <t>gram</t>
  </si>
  <si>
    <t>Gram stain: bacteria</t>
  </si>
  <si>
    <t>pas</t>
  </si>
  <si>
    <t>Periodic acid-Schiff stain: glycogen, fungi, basement membranes</t>
  </si>
  <si>
    <t>eeg</t>
  </si>
  <si>
    <t>Electroencephalogram (brain electrical activity)</t>
  </si>
  <si>
    <t>scintigraphy</t>
  </si>
  <si>
    <t>Nuclear medicine planar scan, e.g. bone scan</t>
  </si>
  <si>
    <t>arthroscopy</t>
  </si>
  <si>
    <t>Camera inside a joint</t>
  </si>
  <si>
    <t>methenamine_silver</t>
  </si>
  <si>
    <t>Grocott methenamine silver stain: fungi</t>
  </si>
  <si>
    <t>other_endoscopy</t>
  </si>
  <si>
    <t>Other endoscopic view</t>
  </si>
  <si>
    <t>papanicolaou</t>
  </si>
  <si>
    <t>Papanicolaou (Pap) stain: cytology</t>
  </si>
  <si>
    <t>spect</t>
  </si>
  <si>
    <t>Single-photon emission CT</t>
  </si>
  <si>
    <t>autofluorescence</t>
  </si>
  <si>
    <t>Fundus autofluorescence imaging</t>
  </si>
  <si>
    <t>acid_fast</t>
  </si>
  <si>
    <t>Acid-fast stain: mycobacteria, e.g. TB</t>
  </si>
  <si>
    <t>congo_red</t>
  </si>
  <si>
    <t>Congo red stain: amyloid</t>
  </si>
  <si>
    <t>van_gieson</t>
  </si>
  <si>
    <t>Van Gieson stain: collagen / elastic fibres</t>
  </si>
  <si>
    <t>emg</t>
  </si>
  <si>
    <t>Electromyography (muscle electrical activity)</t>
  </si>
  <si>
    <t>gonioscopy</t>
  </si>
  <si>
    <t>Imaging of the eye's drainage angle</t>
  </si>
  <si>
    <t>b_scan</t>
  </si>
  <si>
    <t>Ocular B-scan ultrasound</t>
  </si>
  <si>
    <t>methylene_blue</t>
  </si>
  <si>
    <t>Methylene blue stain</t>
  </si>
  <si>
    <t>alcian_blue</t>
  </si>
  <si>
    <t>Alcian blue stain: mucins</t>
  </si>
  <si>
    <t>tractography</t>
  </si>
  <si>
    <t>MRI diffusion tractography of white-matter tracts</t>
  </si>
  <si>
    <t>Image subtype x image type</t>
  </si>
  <si>
    <t>Images per subtype (rows) and type (columns)</t>
  </si>
  <si>
    <t>Subtype</t>
  </si>
  <si>
    <t>Radiology region</t>
  </si>
  <si>
    <t>Coarse body region</t>
  </si>
  <si>
    <t>% of radiology images</t>
  </si>
  <si>
    <t>head</t>
  </si>
  <si>
    <t>thorax</t>
  </si>
  <si>
    <t>abdomen</t>
  </si>
  <si>
    <t>lower_limb</t>
  </si>
  <si>
    <t>neck</t>
  </si>
  <si>
    <t>pelvis</t>
  </si>
  <si>
    <t>upper_limb</t>
  </si>
  <si>
    <t>breast</t>
  </si>
  <si>
    <t>whole_body</t>
  </si>
  <si>
    <t>(blank: not a radiology image)</t>
  </si>
  <si>
    <t>Radiology region (granular)</t>
  </si>
  <si>
    <t>Finer body region; limbs are split into joints and segments</t>
  </si>
  <si>
    <t>hip</t>
  </si>
  <si>
    <t>knee</t>
  </si>
  <si>
    <t>lower_leg</t>
  </si>
  <si>
    <t>elbow</t>
  </si>
  <si>
    <t>thigh</t>
  </si>
  <si>
    <t>ankle</t>
  </si>
  <si>
    <t>hand</t>
  </si>
  <si>
    <t>shoulder</t>
  </si>
  <si>
    <t>foot</t>
  </si>
  <si>
    <t>forearm</t>
  </si>
  <si>
    <t>wrist</t>
  </si>
  <si>
    <t>upper_arm</t>
  </si>
  <si>
    <t>Radiology view</t>
  </si>
  <si>
    <t>Imaging plane or view</t>
  </si>
  <si>
    <t>axial</t>
  </si>
  <si>
    <t>Horizontal slices viewed from the feet (standard CT/MRI view)</t>
  </si>
  <si>
    <t>sagittal</t>
  </si>
  <si>
    <t>Side-on slices dividing left and right</t>
  </si>
  <si>
    <t>frontal</t>
  </si>
  <si>
    <t>Front-facing view: chest X-ray PA/AP, or coronal CT/MRI slice</t>
  </si>
  <si>
    <t>ultrasound_view</t>
  </si>
  <si>
    <t>Ultrasound probe view</t>
  </si>
  <si>
    <t>oblique</t>
  </si>
  <si>
    <t>Angled view</t>
  </si>
  <si>
    <t>panoramic</t>
  </si>
  <si>
    <t>Dental panoramic X-ray (OPG)</t>
  </si>
  <si>
    <t>periapical</t>
  </si>
  <si>
    <t>Dental X-ray of individual teeth and roots</t>
  </si>
  <si>
    <t>occlusal</t>
  </si>
  <si>
    <t>Dental X-ray of the jaw from above/below</t>
  </si>
  <si>
    <t>intravascular</t>
  </si>
  <si>
    <t>Imaging from inside a blood vessel (IVUS / intravascular OCT)</t>
  </si>
  <si>
    <t>Licence of the source article; highlighted rows are in the current base filter</t>
  </si>
  <si>
    <t>Suggested for public Space</t>
  </si>
  <si>
    <t>CC BY</t>
  </si>
  <si>
    <t>Reuse allowed with attribution</t>
  </si>
  <si>
    <t>CC BY-NC-ND</t>
  </si>
  <si>
    <t>Attribution, non-commercial, no derivatives</t>
  </si>
  <si>
    <t>Caution: cropping/annotating may count as a derivative</t>
  </si>
  <si>
    <t>CC BY-NC-SA</t>
  </si>
  <si>
    <t>Attribution, non-commercial, share derivatives under the same licence</t>
  </si>
  <si>
    <t>Probably: check share-alike terms</t>
  </si>
  <si>
    <t>CC BY-NC</t>
  </si>
  <si>
    <t>Attribution, non-commercial use only</t>
  </si>
  <si>
    <t>Yes (course project is non-commercial)</t>
  </si>
  <si>
    <t>NO-CC CODE</t>
  </si>
  <si>
    <t>No Creative Commons licence given</t>
  </si>
  <si>
    <t>CC BY-ND</t>
  </si>
  <si>
    <t>Attribution, no derivatives</t>
  </si>
  <si>
    <t>CC BY-SA</t>
  </si>
  <si>
    <t>Attribution, share derivatives under the same licence</t>
  </si>
  <si>
    <t>Yes (share-alike)</t>
  </si>
  <si>
    <t>CC0</t>
  </si>
  <si>
    <t>Public domain, no conditions</t>
  </si>
  <si>
    <t>author_manuscript</t>
  </si>
  <si>
    <t>Author manuscript, licence unclear</t>
  </si>
  <si>
    <t>Labels (supervised)</t>
  </si>
  <si>
    <t>Each image carries several labels, so the % column does not sum to 100%</t>
  </si>
  <si>
    <t>Label</t>
  </si>
  <si>
    <t>Images tagged</t>
  </si>
  <si>
    <t>echocardiogram</t>
  </si>
  <si>
    <t>mammography</t>
  </si>
  <si>
    <t>ivus</t>
  </si>
  <si>
    <t>Semi labels (full taxonomy)</t>
  </si>
  <si>
    <t>Sparser, noisier extra labels; an image can carry several</t>
  </si>
  <si>
    <t>mass</t>
  </si>
  <si>
    <t>contrast</t>
  </si>
  <si>
    <t>spin_echo</t>
  </si>
  <si>
    <t>angiography</t>
  </si>
  <si>
    <t>ihc</t>
  </si>
  <si>
    <t>t2</t>
  </si>
  <si>
    <t>t1</t>
  </si>
  <si>
    <t>3d</t>
  </si>
  <si>
    <t>cta</t>
  </si>
  <si>
    <t>dental_view</t>
  </si>
  <si>
    <t>ir</t>
  </si>
  <si>
    <t>flair</t>
  </si>
  <si>
    <t>malignant</t>
  </si>
  <si>
    <t>fat_suppression</t>
  </si>
  <si>
    <t>nuclear_medicine</t>
  </si>
  <si>
    <t>transthoracic</t>
  </si>
  <si>
    <t>dwi</t>
  </si>
  <si>
    <t>doppler</t>
  </si>
  <si>
    <t>mra</t>
  </si>
  <si>
    <t>anteroposterior</t>
  </si>
  <si>
    <t>opg</t>
  </si>
  <si>
    <t>right</t>
  </si>
  <si>
    <t>left</t>
  </si>
  <si>
    <t>arteriogram</t>
  </si>
  <si>
    <t>cone_beam</t>
  </si>
  <si>
    <t>cholangiogram</t>
  </si>
  <si>
    <t>4_chamber</t>
  </si>
  <si>
    <t>posteroanterior</t>
  </si>
  <si>
    <t>transesophageal</t>
  </si>
  <si>
    <t>colonoscopy</t>
  </si>
  <si>
    <t>egd</t>
  </si>
  <si>
    <t>short_axis</t>
  </si>
  <si>
    <t>mip</t>
  </si>
  <si>
    <t>immunofluorescence</t>
  </si>
  <si>
    <t>bronchoscopy</t>
  </si>
  <si>
    <t>fluorescein_angiography</t>
  </si>
  <si>
    <t>long_axis</t>
  </si>
  <si>
    <t>stir</t>
  </si>
  <si>
    <t>lung_window</t>
  </si>
  <si>
    <t>bone_window</t>
  </si>
  <si>
    <t>cmr</t>
  </si>
  <si>
    <t>soft_tissue_window</t>
  </si>
  <si>
    <t>anterior_segment_image</t>
  </si>
  <si>
    <t>venogram</t>
  </si>
  <si>
    <t>mrcp</t>
  </si>
  <si>
    <t>apical</t>
  </si>
  <si>
    <t>parasternal</t>
  </si>
  <si>
    <t>spectral_domain</t>
  </si>
  <si>
    <t>transvaginal</t>
  </si>
  <si>
    <t>myelogram</t>
  </si>
  <si>
    <t>gastroscopy</t>
  </si>
  <si>
    <t>icga</t>
  </si>
  <si>
    <t>cystoscopy</t>
  </si>
  <si>
    <t>laryngoscopy</t>
  </si>
  <si>
    <t>2_chamber</t>
  </si>
  <si>
    <t>nbi</t>
  </si>
  <si>
    <t>transabdominal</t>
  </si>
  <si>
    <t>subcostal</t>
  </si>
  <si>
    <t>enteroscopy</t>
  </si>
  <si>
    <t>cephalometry</t>
  </si>
  <si>
    <t>m_mode</t>
  </si>
  <si>
    <t>suprasternal</t>
  </si>
  <si>
    <t>hysteroscopy</t>
  </si>
  <si>
    <t>3_chamber</t>
  </si>
  <si>
    <t>brain_window</t>
  </si>
  <si>
    <t>5_chamber</t>
  </si>
  <si>
    <t>caudal_view</t>
  </si>
  <si>
    <t>cranial_view</t>
  </si>
  <si>
    <t>Demographics, text length and images per case</t>
  </si>
  <si>
    <t>Gender</t>
  </si>
  <si>
    <t>Group</t>
  </si>
  <si>
    <t>% of cases</t>
  </si>
  <si>
    <t>Male</t>
  </si>
  <si>
    <t>Female</t>
  </si>
  <si>
    <t>Unknown</t>
  </si>
  <si>
    <t>Transgender</t>
  </si>
  <si>
    <t>Age band</t>
  </si>
  <si>
    <t>Under 1 (age = 0)</t>
  </si>
  <si>
    <t>1-17</t>
  </si>
  <si>
    <t>18-39</t>
  </si>
  <si>
    <t>40-64</t>
  </si>
  <si>
    <t>65 and over</t>
  </si>
  <si>
    <t>Missing</t>
  </si>
  <si>
    <t>Images per case</t>
  </si>
  <si>
    <t>0 (no images)</t>
  </si>
  <si>
    <t>1</t>
  </si>
  <si>
    <t>2</t>
  </si>
  <si>
    <t>3</t>
  </si>
  <si>
    <t>4-5</t>
  </si>
  <si>
    <t>6-10</t>
  </si>
  <si>
    <t>11 or more</t>
  </si>
  <si>
    <t>Summary statistics</t>
  </si>
  <si>
    <t>Measure</t>
  </si>
  <si>
    <t>Note</t>
  </si>
  <si>
    <t>Age: median (years)</t>
  </si>
  <si>
    <t>Cases with a known age</t>
  </si>
  <si>
    <t>Age: mean (years)</t>
  </si>
  <si>
    <t>Age: maximum (years)</t>
  </si>
  <si>
    <t>Check outliers by hand</t>
  </si>
  <si>
    <t>Case text: median length (characters)</t>
  </si>
  <si>
    <t>About 400 words</t>
  </si>
  <si>
    <t>Case text: 25th-75th percentile (characters)</t>
  </si>
  <si>
    <t>1,527 - 3,721</t>
  </si>
  <si>
    <t>Case text: longest (characters)</t>
  </si>
  <si>
    <t>Some entries cover several patients</t>
  </si>
  <si>
    <t>Images per case: median (cases with images)</t>
  </si>
  <si>
    <t>Images per case: maximum</t>
  </si>
  <si>
    <t>Statistics computed in Python from cases.parquet; not formulas.</t>
  </si>
  <si>
    <t xml:space="preserve">MultiCaRe dataset: classes and parameters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</si>
</sst>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164" fontId="4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3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6" workbookViewId="0">
      <selection activeCell="A2" sqref="A2"/>
    </sheetView>
  </sheetViews>
  <sheetFormatPr defaultRowHeight="14.4" x14ac:dyDescent="0.3"/>
  <cols>
    <col min="1" max="1" width="34" customWidth="1"/>
    <col min="2" max="2" width="70" customWidth="1"/>
    <col min="3" max="3" width="45" customWidth="1"/>
  </cols>
  <sheetData>
    <row r="1" spans="1:3" ht="17.399999999999999" x14ac:dyDescent="0.3">
      <c r="A1" s="1" t="s">
        <v>393</v>
      </c>
    </row>
    <row r="2" spans="1:3" x14ac:dyDescent="0.3">
      <c r="A2" s="2" t="s">
        <v>0</v>
      </c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4" t="s">
        <v>4</v>
      </c>
      <c r="B5" s="5">
        <v>85653</v>
      </c>
      <c r="C5" s="4" t="s">
        <v>5</v>
      </c>
    </row>
    <row r="6" spans="1:3" x14ac:dyDescent="0.3">
      <c r="A6" s="4" t="s">
        <v>6</v>
      </c>
      <c r="B6" s="5">
        <v>110182</v>
      </c>
      <c r="C6" s="4" t="s">
        <v>7</v>
      </c>
    </row>
    <row r="7" spans="1:3" x14ac:dyDescent="0.3">
      <c r="A7" s="4" t="s">
        <v>8</v>
      </c>
      <c r="B7" s="5">
        <v>42044</v>
      </c>
      <c r="C7" s="4" t="s">
        <v>9</v>
      </c>
    </row>
    <row r="8" spans="1:3" x14ac:dyDescent="0.3">
      <c r="A8" s="4" t="s">
        <v>10</v>
      </c>
      <c r="B8" s="5">
        <v>161702</v>
      </c>
      <c r="C8" s="4" t="s">
        <v>11</v>
      </c>
    </row>
    <row r="10" spans="1:3" x14ac:dyDescent="0.3">
      <c r="A10" s="3" t="s">
        <v>12</v>
      </c>
      <c r="B10" s="3" t="s">
        <v>13</v>
      </c>
      <c r="C10" s="3"/>
    </row>
    <row r="11" spans="1:3" x14ac:dyDescent="0.3">
      <c r="A11" s="4" t="s">
        <v>14</v>
      </c>
      <c r="B11" s="4" t="s">
        <v>15</v>
      </c>
      <c r="C11" s="4"/>
    </row>
    <row r="12" spans="1:3" x14ac:dyDescent="0.3">
      <c r="A12" s="4" t="s">
        <v>16</v>
      </c>
      <c r="B12" s="4" t="s">
        <v>17</v>
      </c>
      <c r="C12" s="4"/>
    </row>
    <row r="13" spans="1:3" x14ac:dyDescent="0.3">
      <c r="A13" s="4" t="s">
        <v>18</v>
      </c>
      <c r="B13" s="4" t="s">
        <v>19</v>
      </c>
      <c r="C13" s="4"/>
    </row>
    <row r="14" spans="1:3" x14ac:dyDescent="0.3">
      <c r="A14" s="4" t="s">
        <v>20</v>
      </c>
      <c r="B14" s="4" t="s">
        <v>21</v>
      </c>
      <c r="C14" s="4"/>
    </row>
    <row r="15" spans="1:3" x14ac:dyDescent="0.3">
      <c r="A15" s="4" t="s">
        <v>22</v>
      </c>
      <c r="B15" s="4" t="s">
        <v>23</v>
      </c>
      <c r="C15" s="4"/>
    </row>
    <row r="16" spans="1:3" x14ac:dyDescent="0.3">
      <c r="A16" s="4" t="s">
        <v>24</v>
      </c>
      <c r="B16" s="4" t="s">
        <v>25</v>
      </c>
      <c r="C16" s="4"/>
    </row>
    <row r="17" spans="1:3" x14ac:dyDescent="0.3">
      <c r="A17" s="4" t="s">
        <v>26</v>
      </c>
      <c r="B17" s="4" t="s">
        <v>27</v>
      </c>
      <c r="C17" s="4"/>
    </row>
    <row r="18" spans="1:3" x14ac:dyDescent="0.3">
      <c r="A18" s="4" t="s">
        <v>28</v>
      </c>
      <c r="B18" s="4" t="s">
        <v>29</v>
      </c>
      <c r="C18" s="4"/>
    </row>
    <row r="19" spans="1:3" x14ac:dyDescent="0.3">
      <c r="A19" s="4" t="s">
        <v>30</v>
      </c>
      <c r="B19" s="4" t="s">
        <v>31</v>
      </c>
      <c r="C19" s="4"/>
    </row>
    <row r="20" spans="1:3" x14ac:dyDescent="0.3">
      <c r="A20" s="4" t="s">
        <v>32</v>
      </c>
      <c r="B20" s="4" t="s">
        <v>33</v>
      </c>
      <c r="C20" s="4"/>
    </row>
    <row r="21" spans="1:3" x14ac:dyDescent="0.3">
      <c r="A21" s="4" t="s">
        <v>34</v>
      </c>
      <c r="B21" s="4" t="s">
        <v>35</v>
      </c>
      <c r="C21" s="4"/>
    </row>
    <row r="23" spans="1:3" x14ac:dyDescent="0.3">
      <c r="A23" s="6" t="s">
        <v>36</v>
      </c>
    </row>
    <row r="24" spans="1:3" x14ac:dyDescent="0.3">
      <c r="A24" s="7" t="s">
        <v>37</v>
      </c>
    </row>
    <row r="25" spans="1:3" x14ac:dyDescent="0.3">
      <c r="A25" s="7" t="s">
        <v>38</v>
      </c>
    </row>
    <row r="26" spans="1:3" x14ac:dyDescent="0.3">
      <c r="A26" s="7" t="s">
        <v>39</v>
      </c>
    </row>
    <row r="27" spans="1:3" x14ac:dyDescent="0.3">
      <c r="A27" s="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2" width="8" customWidth="1"/>
    <col min="3" max="3" width="55" customWidth="1"/>
    <col min="4" max="4" width="60" customWidth="1"/>
  </cols>
  <sheetData>
    <row r="1" spans="1:4" ht="17.399999999999999" x14ac:dyDescent="0.3">
      <c r="A1" s="1" t="s">
        <v>14</v>
      </c>
    </row>
    <row r="2" spans="1:4" x14ac:dyDescent="0.3">
      <c r="A2" s="2" t="s">
        <v>41</v>
      </c>
    </row>
    <row r="4" spans="1:4" x14ac:dyDescent="0.3">
      <c r="A4" s="3" t="s">
        <v>42</v>
      </c>
      <c r="B4" s="3" t="s">
        <v>43</v>
      </c>
      <c r="C4" s="3" t="s">
        <v>44</v>
      </c>
      <c r="D4" s="3" t="s">
        <v>45</v>
      </c>
    </row>
    <row r="5" spans="1:4" ht="26.4" x14ac:dyDescent="0.3">
      <c r="A5" s="4" t="s">
        <v>46</v>
      </c>
      <c r="B5" s="4" t="s">
        <v>47</v>
      </c>
      <c r="C5" s="4" t="s">
        <v>48</v>
      </c>
      <c r="D5" s="4" t="s">
        <v>49</v>
      </c>
    </row>
    <row r="6" spans="1:4" x14ac:dyDescent="0.3">
      <c r="A6" s="4" t="s">
        <v>50</v>
      </c>
      <c r="B6" s="4" t="s">
        <v>47</v>
      </c>
      <c r="C6" s="4" t="s">
        <v>51</v>
      </c>
      <c r="D6" s="4" t="s">
        <v>52</v>
      </c>
    </row>
    <row r="7" spans="1:4" x14ac:dyDescent="0.3">
      <c r="A7" s="4" t="s">
        <v>53</v>
      </c>
      <c r="B7" s="4" t="s">
        <v>47</v>
      </c>
      <c r="C7" s="4" t="s">
        <v>54</v>
      </c>
      <c r="D7" s="4" t="s">
        <v>55</v>
      </c>
    </row>
    <row r="8" spans="1:4" x14ac:dyDescent="0.3">
      <c r="A8" s="4" t="s">
        <v>56</v>
      </c>
      <c r="B8" s="4" t="s">
        <v>47</v>
      </c>
      <c r="C8" s="4" t="s">
        <v>57</v>
      </c>
      <c r="D8" s="4"/>
    </row>
    <row r="9" spans="1:4" ht="26.4" x14ac:dyDescent="0.3">
      <c r="A9" s="4" t="s">
        <v>58</v>
      </c>
      <c r="B9" s="4" t="s">
        <v>47</v>
      </c>
      <c r="C9" s="4" t="s">
        <v>59</v>
      </c>
      <c r="D9" s="4" t="s">
        <v>60</v>
      </c>
    </row>
    <row r="10" spans="1:4" x14ac:dyDescent="0.3">
      <c r="A10" s="4" t="s">
        <v>61</v>
      </c>
      <c r="B10" s="4" t="s">
        <v>62</v>
      </c>
      <c r="C10" s="4" t="s">
        <v>63</v>
      </c>
      <c r="D10" s="4" t="s">
        <v>64</v>
      </c>
    </row>
    <row r="11" spans="1:4" x14ac:dyDescent="0.3">
      <c r="A11" s="4" t="s">
        <v>65</v>
      </c>
      <c r="B11" s="4" t="s">
        <v>62</v>
      </c>
      <c r="C11" s="4" t="s">
        <v>66</v>
      </c>
      <c r="D11" s="4" t="s">
        <v>67</v>
      </c>
    </row>
    <row r="12" spans="1:4" x14ac:dyDescent="0.3">
      <c r="A12" s="4" t="s">
        <v>68</v>
      </c>
      <c r="B12" s="4" t="s">
        <v>62</v>
      </c>
      <c r="C12" s="4" t="s">
        <v>69</v>
      </c>
      <c r="D12" s="4" t="s">
        <v>70</v>
      </c>
    </row>
    <row r="13" spans="1:4" x14ac:dyDescent="0.3">
      <c r="A13" s="4" t="s">
        <v>71</v>
      </c>
      <c r="B13" s="4" t="s">
        <v>62</v>
      </c>
      <c r="C13" s="4" t="s">
        <v>72</v>
      </c>
      <c r="D13" s="4" t="s">
        <v>73</v>
      </c>
    </row>
    <row r="14" spans="1:4" x14ac:dyDescent="0.3">
      <c r="A14" s="4" t="s">
        <v>74</v>
      </c>
      <c r="B14" s="4" t="s">
        <v>62</v>
      </c>
      <c r="C14" s="4" t="s">
        <v>75</v>
      </c>
      <c r="D14" s="4" t="s">
        <v>76</v>
      </c>
    </row>
    <row r="15" spans="1:4" ht="26.4" x14ac:dyDescent="0.3">
      <c r="A15" s="4" t="s">
        <v>77</v>
      </c>
      <c r="B15" s="4" t="s">
        <v>62</v>
      </c>
      <c r="C15" s="4" t="s">
        <v>78</v>
      </c>
      <c r="D15" s="4" t="s">
        <v>79</v>
      </c>
    </row>
    <row r="16" spans="1:4" x14ac:dyDescent="0.3">
      <c r="A16" s="4" t="s">
        <v>80</v>
      </c>
      <c r="B16" s="4" t="s">
        <v>62</v>
      </c>
      <c r="C16" s="4" t="s">
        <v>81</v>
      </c>
      <c r="D16" s="4" t="s">
        <v>82</v>
      </c>
    </row>
    <row r="17" spans="1:4" x14ac:dyDescent="0.3">
      <c r="A17" s="4" t="s">
        <v>83</v>
      </c>
      <c r="B17" s="4" t="s">
        <v>62</v>
      </c>
      <c r="C17" s="4" t="s">
        <v>84</v>
      </c>
      <c r="D17" s="4" t="s">
        <v>85</v>
      </c>
    </row>
    <row r="18" spans="1:4" x14ac:dyDescent="0.3">
      <c r="A18" s="4" t="s">
        <v>86</v>
      </c>
      <c r="B18" s="4" t="s">
        <v>62</v>
      </c>
      <c r="C18" s="4" t="s">
        <v>87</v>
      </c>
      <c r="D18" s="4" t="s">
        <v>88</v>
      </c>
    </row>
    <row r="19" spans="1:4" x14ac:dyDescent="0.3">
      <c r="A19" s="4" t="s">
        <v>89</v>
      </c>
      <c r="B19" s="4" t="s">
        <v>62</v>
      </c>
      <c r="C19" s="4" t="s">
        <v>90</v>
      </c>
      <c r="D19" s="4" t="s">
        <v>91</v>
      </c>
    </row>
    <row r="20" spans="1:4" x14ac:dyDescent="0.3">
      <c r="A20" s="4" t="s">
        <v>92</v>
      </c>
      <c r="B20" s="4" t="s">
        <v>62</v>
      </c>
      <c r="C20" s="4" t="s">
        <v>93</v>
      </c>
      <c r="D20" s="4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60" customWidth="1"/>
    <col min="3" max="3" width="14" customWidth="1"/>
    <col min="4" max="4" width="12" customWidth="1"/>
    <col min="5" max="5" width="14" customWidth="1"/>
  </cols>
  <sheetData>
    <row r="1" spans="1:5" ht="17.399999999999999" x14ac:dyDescent="0.3">
      <c r="A1" s="1" t="s">
        <v>16</v>
      </c>
    </row>
    <row r="2" spans="1:5" x14ac:dyDescent="0.3">
      <c r="A2" s="2" t="s">
        <v>95</v>
      </c>
    </row>
    <row r="4" spans="1:5" ht="26.4" x14ac:dyDescent="0.3">
      <c r="A4" s="3" t="s">
        <v>2</v>
      </c>
      <c r="B4" s="3" t="s">
        <v>96</v>
      </c>
      <c r="C4" s="3" t="s">
        <v>97</v>
      </c>
      <c r="D4" s="3" t="s">
        <v>98</v>
      </c>
      <c r="E4" s="3" t="s">
        <v>99</v>
      </c>
    </row>
    <row r="5" spans="1:5" x14ac:dyDescent="0.3">
      <c r="A5" s="4" t="s">
        <v>100</v>
      </c>
      <c r="B5" s="4" t="s">
        <v>101</v>
      </c>
      <c r="C5" s="4" t="s">
        <v>102</v>
      </c>
      <c r="D5" s="5">
        <v>83147</v>
      </c>
      <c r="E5" s="8">
        <f t="shared" ref="E5:E11" si="0">D5/D$12</f>
        <v>0.51419895857812514</v>
      </c>
    </row>
    <row r="6" spans="1:5" x14ac:dyDescent="0.3">
      <c r="A6" s="4" t="s">
        <v>103</v>
      </c>
      <c r="B6" s="4" t="s">
        <v>104</v>
      </c>
      <c r="C6" s="4" t="s">
        <v>105</v>
      </c>
      <c r="D6" s="5">
        <v>32442</v>
      </c>
      <c r="E6" s="8">
        <f t="shared" si="0"/>
        <v>0.20062831628551286</v>
      </c>
    </row>
    <row r="7" spans="1:5" x14ac:dyDescent="0.3">
      <c r="A7" s="4" t="s">
        <v>106</v>
      </c>
      <c r="B7" s="4" t="s">
        <v>107</v>
      </c>
      <c r="C7" s="4" t="s">
        <v>108</v>
      </c>
      <c r="D7" s="5">
        <v>29308</v>
      </c>
      <c r="E7" s="8">
        <f t="shared" si="0"/>
        <v>0.1812469851949883</v>
      </c>
    </row>
    <row r="8" spans="1:5" x14ac:dyDescent="0.3">
      <c r="A8" s="4" t="s">
        <v>109</v>
      </c>
      <c r="B8" s="4" t="s">
        <v>110</v>
      </c>
      <c r="C8" s="4" t="s">
        <v>105</v>
      </c>
      <c r="D8" s="5">
        <v>5284</v>
      </c>
      <c r="E8" s="8">
        <f t="shared" si="0"/>
        <v>3.2677394218995438E-2</v>
      </c>
    </row>
    <row r="9" spans="1:5" x14ac:dyDescent="0.3">
      <c r="A9" s="4" t="s">
        <v>111</v>
      </c>
      <c r="B9" s="4" t="s">
        <v>112</v>
      </c>
      <c r="C9" s="4" t="s">
        <v>105</v>
      </c>
      <c r="D9" s="5">
        <v>4543</v>
      </c>
      <c r="E9" s="8">
        <f t="shared" si="0"/>
        <v>2.8094890601229421E-2</v>
      </c>
    </row>
    <row r="10" spans="1:5" x14ac:dyDescent="0.3">
      <c r="A10" s="4" t="s">
        <v>113</v>
      </c>
      <c r="B10" s="4" t="s">
        <v>114</v>
      </c>
      <c r="C10" s="4" t="s">
        <v>105</v>
      </c>
      <c r="D10" s="5">
        <v>4498</v>
      </c>
      <c r="E10" s="8">
        <f t="shared" si="0"/>
        <v>2.7816600907842822E-2</v>
      </c>
    </row>
    <row r="11" spans="1:5" x14ac:dyDescent="0.3">
      <c r="A11" s="4" t="s">
        <v>115</v>
      </c>
      <c r="B11" s="4" t="s">
        <v>116</v>
      </c>
      <c r="C11" s="4" t="s">
        <v>108</v>
      </c>
      <c r="D11" s="5">
        <v>2480</v>
      </c>
      <c r="E11" s="8">
        <f t="shared" si="0"/>
        <v>1.5336854213305958E-2</v>
      </c>
    </row>
    <row r="12" spans="1:5" x14ac:dyDescent="0.3">
      <c r="A12" s="9" t="s">
        <v>117</v>
      </c>
      <c r="B12" s="9"/>
      <c r="C12" s="9"/>
      <c r="D12" s="10">
        <f>SUM(D5:D11)</f>
        <v>161702</v>
      </c>
      <c r="E12" s="11">
        <f>SUM(E5:E11)</f>
        <v>0.99999999999999978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workbookViewId="0">
      <pane xSplit="1" ySplit="4" topLeftCell="B1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20" customWidth="1"/>
    <col min="3" max="3" width="55" customWidth="1"/>
    <col min="4" max="4" width="12" customWidth="1"/>
    <col min="5" max="5" width="14" customWidth="1"/>
    <col min="6" max="7" width="12" customWidth="1"/>
  </cols>
  <sheetData>
    <row r="1" spans="1:7" ht="17.399999999999999" x14ac:dyDescent="0.3">
      <c r="A1" s="1" t="s">
        <v>18</v>
      </c>
    </row>
    <row r="2" spans="1:7" x14ac:dyDescent="0.3">
      <c r="A2" s="2" t="s">
        <v>118</v>
      </c>
    </row>
    <row r="4" spans="1:7" ht="26.4" x14ac:dyDescent="0.3">
      <c r="A4" s="3" t="s">
        <v>2</v>
      </c>
      <c r="B4" s="3" t="s">
        <v>119</v>
      </c>
      <c r="C4" s="3" t="s">
        <v>96</v>
      </c>
      <c r="D4" s="3" t="s">
        <v>120</v>
      </c>
      <c r="E4" s="3" t="s">
        <v>97</v>
      </c>
      <c r="F4" s="3" t="s">
        <v>98</v>
      </c>
      <c r="G4" s="3" t="s">
        <v>99</v>
      </c>
    </row>
    <row r="5" spans="1:7" x14ac:dyDescent="0.3">
      <c r="A5" s="12" t="s">
        <v>121</v>
      </c>
      <c r="B5" s="12" t="s">
        <v>100</v>
      </c>
      <c r="C5" s="12" t="s">
        <v>122</v>
      </c>
      <c r="D5" s="12" t="s">
        <v>123</v>
      </c>
      <c r="E5" s="12" t="s">
        <v>102</v>
      </c>
      <c r="F5" s="13">
        <v>33601</v>
      </c>
      <c r="G5" s="14">
        <f t="shared" ref="G5:G44" si="0">F5/F$45</f>
        <v>0.20779582194406995</v>
      </c>
    </row>
    <row r="6" spans="1:7" x14ac:dyDescent="0.3">
      <c r="A6" s="4" t="s">
        <v>124</v>
      </c>
      <c r="B6" s="4" t="s">
        <v>100</v>
      </c>
      <c r="C6" s="4" t="s">
        <v>125</v>
      </c>
      <c r="D6" s="4" t="s">
        <v>126</v>
      </c>
      <c r="E6" s="4" t="s">
        <v>108</v>
      </c>
      <c r="F6" s="5">
        <v>23287</v>
      </c>
      <c r="G6" s="8">
        <f t="shared" si="0"/>
        <v>0.14401182421986122</v>
      </c>
    </row>
    <row r="7" spans="1:7" x14ac:dyDescent="0.3">
      <c r="A7" s="4" t="s">
        <v>127</v>
      </c>
      <c r="B7" s="4" t="s">
        <v>106</v>
      </c>
      <c r="C7" s="4" t="s">
        <v>128</v>
      </c>
      <c r="D7" s="4" t="s">
        <v>126</v>
      </c>
      <c r="E7" s="4" t="s">
        <v>108</v>
      </c>
      <c r="F7" s="5">
        <v>18615</v>
      </c>
      <c r="G7" s="8">
        <f t="shared" si="0"/>
        <v>0.11511916983092355</v>
      </c>
    </row>
    <row r="8" spans="1:7" ht="26.4" x14ac:dyDescent="0.3">
      <c r="A8" s="12" t="s">
        <v>129</v>
      </c>
      <c r="B8" s="12" t="s">
        <v>100</v>
      </c>
      <c r="C8" s="12" t="s">
        <v>130</v>
      </c>
      <c r="D8" s="12" t="s">
        <v>123</v>
      </c>
      <c r="E8" s="12" t="s">
        <v>102</v>
      </c>
      <c r="F8" s="13">
        <v>16264</v>
      </c>
      <c r="G8" s="14">
        <f t="shared" si="0"/>
        <v>0.10058007940532585</v>
      </c>
    </row>
    <row r="9" spans="1:7" x14ac:dyDescent="0.3">
      <c r="A9" s="4" t="s">
        <v>131</v>
      </c>
      <c r="B9" s="4" t="s">
        <v>103</v>
      </c>
      <c r="C9" s="4" t="s">
        <v>132</v>
      </c>
      <c r="D9" s="4" t="s">
        <v>126</v>
      </c>
      <c r="E9" s="4" t="s">
        <v>105</v>
      </c>
      <c r="F9" s="5">
        <v>15432</v>
      </c>
      <c r="G9" s="8">
        <f t="shared" si="0"/>
        <v>9.543481218537804E-2</v>
      </c>
    </row>
    <row r="10" spans="1:7" ht="26.4" x14ac:dyDescent="0.3">
      <c r="A10" s="4" t="s">
        <v>133</v>
      </c>
      <c r="B10" s="4" t="s">
        <v>103</v>
      </c>
      <c r="C10" s="4" t="s">
        <v>134</v>
      </c>
      <c r="D10" s="4" t="s">
        <v>126</v>
      </c>
      <c r="E10" s="4" t="s">
        <v>105</v>
      </c>
      <c r="F10" s="5">
        <v>10998</v>
      </c>
      <c r="G10" s="8">
        <f t="shared" si="0"/>
        <v>6.8014001063685048E-2</v>
      </c>
    </row>
    <row r="11" spans="1:7" x14ac:dyDescent="0.3">
      <c r="A11" s="4" t="s">
        <v>135</v>
      </c>
      <c r="B11" s="4" t="s">
        <v>106</v>
      </c>
      <c r="C11" s="4" t="s">
        <v>136</v>
      </c>
      <c r="D11" s="4" t="s">
        <v>126</v>
      </c>
      <c r="E11" s="4" t="s">
        <v>105</v>
      </c>
      <c r="F11" s="5">
        <v>7920</v>
      </c>
      <c r="G11" s="8">
        <f t="shared" si="0"/>
        <v>4.8978986036041609E-2</v>
      </c>
    </row>
    <row r="12" spans="1:7" x14ac:dyDescent="0.3">
      <c r="A12" s="12" t="s">
        <v>137</v>
      </c>
      <c r="B12" s="12" t="s">
        <v>100</v>
      </c>
      <c r="C12" s="12" t="s">
        <v>138</v>
      </c>
      <c r="D12" s="12" t="s">
        <v>123</v>
      </c>
      <c r="E12" s="12" t="s">
        <v>102</v>
      </c>
      <c r="F12" s="13">
        <v>6941</v>
      </c>
      <c r="G12" s="14">
        <f t="shared" si="0"/>
        <v>4.2924639151030911E-2</v>
      </c>
    </row>
    <row r="13" spans="1:7" x14ac:dyDescent="0.3">
      <c r="A13" s="4" t="s">
        <v>109</v>
      </c>
      <c r="B13" s="4" t="s">
        <v>109</v>
      </c>
      <c r="C13" s="4" t="s">
        <v>139</v>
      </c>
      <c r="D13" s="4" t="s">
        <v>126</v>
      </c>
      <c r="E13" s="4" t="s">
        <v>105</v>
      </c>
      <c r="F13" s="5">
        <v>5284</v>
      </c>
      <c r="G13" s="8">
        <f t="shared" si="0"/>
        <v>3.2677394218995438E-2</v>
      </c>
    </row>
    <row r="14" spans="1:7" x14ac:dyDescent="0.3">
      <c r="A14" s="4" t="s">
        <v>140</v>
      </c>
      <c r="B14" s="4" t="s">
        <v>106</v>
      </c>
      <c r="C14" s="4" t="s">
        <v>141</v>
      </c>
      <c r="D14" s="4" t="s">
        <v>126</v>
      </c>
      <c r="E14" s="4" t="s">
        <v>105</v>
      </c>
      <c r="F14" s="5">
        <v>2773</v>
      </c>
      <c r="G14" s="8">
        <f t="shared" si="0"/>
        <v>1.7148829328023155E-2</v>
      </c>
    </row>
    <row r="15" spans="1:7" x14ac:dyDescent="0.3">
      <c r="A15" s="4" t="s">
        <v>142</v>
      </c>
      <c r="B15" s="4" t="s">
        <v>111</v>
      </c>
      <c r="C15" s="4" t="s">
        <v>143</v>
      </c>
      <c r="D15" s="4" t="s">
        <v>126</v>
      </c>
      <c r="E15" s="4" t="s">
        <v>105</v>
      </c>
      <c r="F15" s="5">
        <v>2586</v>
      </c>
      <c r="G15" s="8">
        <f t="shared" si="0"/>
        <v>1.5992381046616617E-2</v>
      </c>
    </row>
    <row r="16" spans="1:7" x14ac:dyDescent="0.3">
      <c r="A16" s="4" t="s">
        <v>144</v>
      </c>
      <c r="B16" s="4" t="s">
        <v>100</v>
      </c>
      <c r="C16" s="4" t="s">
        <v>145</v>
      </c>
      <c r="D16" s="4" t="s">
        <v>126</v>
      </c>
      <c r="E16" s="4" t="s">
        <v>105</v>
      </c>
      <c r="F16" s="5">
        <v>2283</v>
      </c>
      <c r="G16" s="8">
        <f t="shared" si="0"/>
        <v>1.4118563777813509E-2</v>
      </c>
    </row>
    <row r="17" spans="1:7" x14ac:dyDescent="0.3">
      <c r="A17" s="4" t="s">
        <v>146</v>
      </c>
      <c r="B17" s="4" t="s">
        <v>115</v>
      </c>
      <c r="C17" s="4" t="s">
        <v>147</v>
      </c>
      <c r="D17" s="4" t="s">
        <v>126</v>
      </c>
      <c r="E17" s="4" t="s">
        <v>108</v>
      </c>
      <c r="F17" s="5">
        <v>1840</v>
      </c>
      <c r="G17" s="8">
        <f t="shared" si="0"/>
        <v>1.1378956351807646E-2</v>
      </c>
    </row>
    <row r="18" spans="1:7" x14ac:dyDescent="0.3">
      <c r="A18" s="4" t="s">
        <v>148</v>
      </c>
      <c r="B18" s="4" t="s">
        <v>103</v>
      </c>
      <c r="C18" s="4" t="s">
        <v>149</v>
      </c>
      <c r="D18" s="4" t="s">
        <v>126</v>
      </c>
      <c r="E18" s="4" t="s">
        <v>105</v>
      </c>
      <c r="F18" s="5">
        <v>1572</v>
      </c>
      <c r="G18" s="8">
        <f t="shared" si="0"/>
        <v>9.721586622305229E-3</v>
      </c>
    </row>
    <row r="19" spans="1:7" x14ac:dyDescent="0.3">
      <c r="A19" s="4" t="s">
        <v>150</v>
      </c>
      <c r="B19" s="4" t="s">
        <v>113</v>
      </c>
      <c r="C19" s="4" t="s">
        <v>151</v>
      </c>
      <c r="D19" s="4" t="s">
        <v>126</v>
      </c>
      <c r="E19" s="4" t="s">
        <v>105</v>
      </c>
      <c r="F19" s="5">
        <v>1464</v>
      </c>
      <c r="G19" s="8">
        <f t="shared" si="0"/>
        <v>9.0536913581773879E-3</v>
      </c>
    </row>
    <row r="20" spans="1:7" x14ac:dyDescent="0.3">
      <c r="A20" s="4" t="s">
        <v>152</v>
      </c>
      <c r="B20" s="4" t="s">
        <v>111</v>
      </c>
      <c r="C20" s="4" t="s">
        <v>153</v>
      </c>
      <c r="D20" s="4" t="s">
        <v>126</v>
      </c>
      <c r="E20" s="4" t="s">
        <v>105</v>
      </c>
      <c r="F20" s="5">
        <v>1240</v>
      </c>
      <c r="G20" s="8">
        <f t="shared" si="0"/>
        <v>7.6684271066529792E-3</v>
      </c>
    </row>
    <row r="21" spans="1:7" x14ac:dyDescent="0.3">
      <c r="A21" s="4" t="s">
        <v>154</v>
      </c>
      <c r="B21" s="4" t="s">
        <v>113</v>
      </c>
      <c r="C21" s="4" t="s">
        <v>155</v>
      </c>
      <c r="D21" s="4" t="s">
        <v>126</v>
      </c>
      <c r="E21" s="4" t="s">
        <v>105</v>
      </c>
      <c r="F21" s="5">
        <v>1231</v>
      </c>
      <c r="G21" s="8">
        <f t="shared" si="0"/>
        <v>7.6127691679756587E-3</v>
      </c>
    </row>
    <row r="22" spans="1:7" x14ac:dyDescent="0.3">
      <c r="A22" s="4" t="s">
        <v>156</v>
      </c>
      <c r="B22" s="4" t="s">
        <v>103</v>
      </c>
      <c r="C22" s="4" t="s">
        <v>157</v>
      </c>
      <c r="D22" s="4" t="s">
        <v>126</v>
      </c>
      <c r="E22" s="4" t="s">
        <v>105</v>
      </c>
      <c r="F22" s="5">
        <v>1014</v>
      </c>
      <c r="G22" s="8">
        <f t="shared" si="0"/>
        <v>6.2707944243113878E-3</v>
      </c>
    </row>
    <row r="23" spans="1:7" x14ac:dyDescent="0.3">
      <c r="A23" s="4" t="s">
        <v>158</v>
      </c>
      <c r="B23" s="4" t="s">
        <v>103</v>
      </c>
      <c r="C23" s="4" t="s">
        <v>159</v>
      </c>
      <c r="D23" s="4" t="s">
        <v>126</v>
      </c>
      <c r="E23" s="4" t="s">
        <v>105</v>
      </c>
      <c r="F23" s="5">
        <v>876</v>
      </c>
      <c r="G23" s="8">
        <f t="shared" si="0"/>
        <v>5.4173726979258145E-3</v>
      </c>
    </row>
    <row r="24" spans="1:7" x14ac:dyDescent="0.3">
      <c r="A24" s="4" t="s">
        <v>160</v>
      </c>
      <c r="B24" s="4" t="s">
        <v>113</v>
      </c>
      <c r="C24" s="4" t="s">
        <v>161</v>
      </c>
      <c r="D24" s="4" t="s">
        <v>126</v>
      </c>
      <c r="E24" s="4" t="s">
        <v>105</v>
      </c>
      <c r="F24" s="5">
        <v>769</v>
      </c>
      <c r="G24" s="8">
        <f t="shared" si="0"/>
        <v>4.7556616492065648E-3</v>
      </c>
    </row>
    <row r="25" spans="1:7" x14ac:dyDescent="0.3">
      <c r="A25" s="4" t="s">
        <v>162</v>
      </c>
      <c r="B25" s="4" t="s">
        <v>113</v>
      </c>
      <c r="C25" s="4" t="s">
        <v>163</v>
      </c>
      <c r="D25" s="4" t="s">
        <v>126</v>
      </c>
      <c r="E25" s="4" t="s">
        <v>105</v>
      </c>
      <c r="F25" s="5">
        <v>695</v>
      </c>
      <c r="G25" s="8">
        <f t="shared" si="0"/>
        <v>4.2980297089708231E-3</v>
      </c>
    </row>
    <row r="26" spans="1:7" x14ac:dyDescent="0.3">
      <c r="A26" s="4" t="s">
        <v>164</v>
      </c>
      <c r="B26" s="4" t="s">
        <v>103</v>
      </c>
      <c r="C26" s="4" t="s">
        <v>165</v>
      </c>
      <c r="D26" s="4" t="s">
        <v>126</v>
      </c>
      <c r="E26" s="4" t="s">
        <v>105</v>
      </c>
      <c r="F26" s="5">
        <v>652</v>
      </c>
      <c r="G26" s="8">
        <f t="shared" si="0"/>
        <v>4.0321084464014049E-3</v>
      </c>
    </row>
    <row r="27" spans="1:7" ht="26.4" x14ac:dyDescent="0.3">
      <c r="A27" s="4" t="s">
        <v>166</v>
      </c>
      <c r="B27" s="4" t="s">
        <v>103</v>
      </c>
      <c r="C27" s="4" t="s">
        <v>167</v>
      </c>
      <c r="D27" s="4" t="s">
        <v>126</v>
      </c>
      <c r="E27" s="4" t="s">
        <v>105</v>
      </c>
      <c r="F27" s="5">
        <v>650</v>
      </c>
      <c r="G27" s="8">
        <f t="shared" si="0"/>
        <v>4.0197400155842231E-3</v>
      </c>
    </row>
    <row r="28" spans="1:7" x14ac:dyDescent="0.3">
      <c r="A28" s="4" t="s">
        <v>168</v>
      </c>
      <c r="B28" s="4" t="s">
        <v>115</v>
      </c>
      <c r="C28" s="4" t="s">
        <v>169</v>
      </c>
      <c r="D28" s="4" t="s">
        <v>126</v>
      </c>
      <c r="E28" s="4" t="s">
        <v>105</v>
      </c>
      <c r="F28" s="5">
        <v>497</v>
      </c>
      <c r="G28" s="8">
        <f t="shared" si="0"/>
        <v>3.0735550580697829E-3</v>
      </c>
    </row>
    <row r="29" spans="1:7" x14ac:dyDescent="0.3">
      <c r="A29" s="4" t="s">
        <v>170</v>
      </c>
      <c r="B29" s="4" t="s">
        <v>100</v>
      </c>
      <c r="C29" s="4" t="s">
        <v>171</v>
      </c>
      <c r="D29" s="4" t="s">
        <v>126</v>
      </c>
      <c r="E29" s="4" t="s">
        <v>105</v>
      </c>
      <c r="F29" s="5">
        <v>471</v>
      </c>
      <c r="G29" s="8">
        <f t="shared" si="0"/>
        <v>2.912765457446414E-3</v>
      </c>
    </row>
    <row r="30" spans="1:7" x14ac:dyDescent="0.3">
      <c r="A30" s="4" t="s">
        <v>172</v>
      </c>
      <c r="B30" s="4" t="s">
        <v>111</v>
      </c>
      <c r="C30" s="4" t="s">
        <v>173</v>
      </c>
      <c r="D30" s="4" t="s">
        <v>126</v>
      </c>
      <c r="E30" s="4" t="s">
        <v>105</v>
      </c>
      <c r="F30" s="5">
        <v>388</v>
      </c>
      <c r="G30" s="8">
        <f t="shared" si="0"/>
        <v>2.3994755785333513E-3</v>
      </c>
    </row>
    <row r="31" spans="1:7" x14ac:dyDescent="0.3">
      <c r="A31" s="4" t="s">
        <v>174</v>
      </c>
      <c r="B31" s="4" t="s">
        <v>103</v>
      </c>
      <c r="C31" s="4" t="s">
        <v>175</v>
      </c>
      <c r="D31" s="4" t="s">
        <v>126</v>
      </c>
      <c r="E31" s="4" t="s">
        <v>105</v>
      </c>
      <c r="F31" s="5">
        <v>338</v>
      </c>
      <c r="G31" s="8">
        <f t="shared" si="0"/>
        <v>2.0902648081037958E-3</v>
      </c>
    </row>
    <row r="32" spans="1:7" x14ac:dyDescent="0.3">
      <c r="A32" s="4" t="s">
        <v>176</v>
      </c>
      <c r="B32" s="4" t="s">
        <v>111</v>
      </c>
      <c r="C32" s="4" t="s">
        <v>177</v>
      </c>
      <c r="D32" s="4" t="s">
        <v>126</v>
      </c>
      <c r="E32" s="4" t="s">
        <v>105</v>
      </c>
      <c r="F32" s="5">
        <v>329</v>
      </c>
      <c r="G32" s="8">
        <f t="shared" si="0"/>
        <v>2.0346068694264757E-3</v>
      </c>
    </row>
    <row r="33" spans="1:7" x14ac:dyDescent="0.3">
      <c r="A33" s="4" t="s">
        <v>178</v>
      </c>
      <c r="B33" s="4" t="s">
        <v>103</v>
      </c>
      <c r="C33" s="4" t="s">
        <v>179</v>
      </c>
      <c r="D33" s="4" t="s">
        <v>126</v>
      </c>
      <c r="E33" s="4" t="s">
        <v>105</v>
      </c>
      <c r="F33" s="5">
        <v>300</v>
      </c>
      <c r="G33" s="8">
        <f t="shared" si="0"/>
        <v>1.8552646225773336E-3</v>
      </c>
    </row>
    <row r="34" spans="1:7" x14ac:dyDescent="0.3">
      <c r="A34" s="4" t="s">
        <v>180</v>
      </c>
      <c r="B34" s="4" t="s">
        <v>100</v>
      </c>
      <c r="C34" s="4" t="s">
        <v>181</v>
      </c>
      <c r="D34" s="4" t="s">
        <v>126</v>
      </c>
      <c r="E34" s="4" t="s">
        <v>105</v>
      </c>
      <c r="F34" s="5">
        <v>267</v>
      </c>
      <c r="G34" s="8">
        <f t="shared" si="0"/>
        <v>1.6511855140938269E-3</v>
      </c>
    </row>
    <row r="35" spans="1:7" x14ac:dyDescent="0.3">
      <c r="A35" s="4" t="s">
        <v>182</v>
      </c>
      <c r="B35" s="4" t="s">
        <v>113</v>
      </c>
      <c r="C35" s="4" t="s">
        <v>183</v>
      </c>
      <c r="D35" s="4" t="s">
        <v>126</v>
      </c>
      <c r="E35" s="4" t="s">
        <v>105</v>
      </c>
      <c r="F35" s="5">
        <v>188</v>
      </c>
      <c r="G35" s="8">
        <f t="shared" si="0"/>
        <v>1.162632496815129E-3</v>
      </c>
    </row>
    <row r="36" spans="1:7" x14ac:dyDescent="0.3">
      <c r="A36" s="4" t="s">
        <v>184</v>
      </c>
      <c r="B36" s="4" t="s">
        <v>103</v>
      </c>
      <c r="C36" s="4" t="s">
        <v>185</v>
      </c>
      <c r="D36" s="4" t="s">
        <v>126</v>
      </c>
      <c r="E36" s="4" t="s">
        <v>105</v>
      </c>
      <c r="F36" s="5">
        <v>177</v>
      </c>
      <c r="G36" s="8">
        <f t="shared" si="0"/>
        <v>1.0946061273206268E-3</v>
      </c>
    </row>
    <row r="37" spans="1:7" x14ac:dyDescent="0.3">
      <c r="A37" s="4" t="s">
        <v>186</v>
      </c>
      <c r="B37" s="4" t="s">
        <v>103</v>
      </c>
      <c r="C37" s="4" t="s">
        <v>187</v>
      </c>
      <c r="D37" s="4" t="s">
        <v>126</v>
      </c>
      <c r="E37" s="4" t="s">
        <v>105</v>
      </c>
      <c r="F37" s="5">
        <v>156</v>
      </c>
      <c r="G37" s="8">
        <f t="shared" si="0"/>
        <v>9.6473760374021344E-4</v>
      </c>
    </row>
    <row r="38" spans="1:7" x14ac:dyDescent="0.3">
      <c r="A38" s="4" t="s">
        <v>188</v>
      </c>
      <c r="B38" s="4" t="s">
        <v>103</v>
      </c>
      <c r="C38" s="4" t="s">
        <v>189</v>
      </c>
      <c r="D38" s="4" t="s">
        <v>126</v>
      </c>
      <c r="E38" s="4" t="s">
        <v>105</v>
      </c>
      <c r="F38" s="5">
        <v>155</v>
      </c>
      <c r="G38" s="8">
        <f t="shared" si="0"/>
        <v>9.585533883316224E-4</v>
      </c>
    </row>
    <row r="39" spans="1:7" x14ac:dyDescent="0.3">
      <c r="A39" s="4" t="s">
        <v>190</v>
      </c>
      <c r="B39" s="4" t="s">
        <v>115</v>
      </c>
      <c r="C39" s="4" t="s">
        <v>191</v>
      </c>
      <c r="D39" s="4" t="s">
        <v>126</v>
      </c>
      <c r="E39" s="4" t="s">
        <v>105</v>
      </c>
      <c r="F39" s="5">
        <v>143</v>
      </c>
      <c r="G39" s="8">
        <f t="shared" si="0"/>
        <v>8.8434280342852899E-4</v>
      </c>
    </row>
    <row r="40" spans="1:7" x14ac:dyDescent="0.3">
      <c r="A40" s="4" t="s">
        <v>192</v>
      </c>
      <c r="B40" s="4" t="s">
        <v>113</v>
      </c>
      <c r="C40" s="4" t="s">
        <v>193</v>
      </c>
      <c r="D40" s="4" t="s">
        <v>126</v>
      </c>
      <c r="E40" s="4" t="s">
        <v>105</v>
      </c>
      <c r="F40" s="5">
        <v>76</v>
      </c>
      <c r="G40" s="8">
        <f t="shared" si="0"/>
        <v>4.7000037105292454E-4</v>
      </c>
    </row>
    <row r="41" spans="1:7" x14ac:dyDescent="0.3">
      <c r="A41" s="4" t="s">
        <v>194</v>
      </c>
      <c r="B41" s="4" t="s">
        <v>113</v>
      </c>
      <c r="C41" s="4" t="s">
        <v>195</v>
      </c>
      <c r="D41" s="4" t="s">
        <v>126</v>
      </c>
      <c r="E41" s="4" t="s">
        <v>105</v>
      </c>
      <c r="F41" s="5">
        <v>75</v>
      </c>
      <c r="G41" s="8">
        <f t="shared" si="0"/>
        <v>4.6381615564433339E-4</v>
      </c>
    </row>
    <row r="42" spans="1:7" x14ac:dyDescent="0.3">
      <c r="A42" s="4" t="s">
        <v>196</v>
      </c>
      <c r="B42" s="4" t="s">
        <v>103</v>
      </c>
      <c r="C42" s="4" t="s">
        <v>197</v>
      </c>
      <c r="D42" s="4" t="s">
        <v>126</v>
      </c>
      <c r="E42" s="4" t="s">
        <v>105</v>
      </c>
      <c r="F42" s="5">
        <v>68</v>
      </c>
      <c r="G42" s="8">
        <f t="shared" si="0"/>
        <v>4.2052664778419559E-4</v>
      </c>
    </row>
    <row r="43" spans="1:7" x14ac:dyDescent="0.3">
      <c r="A43" s="4" t="s">
        <v>198</v>
      </c>
      <c r="B43" s="4" t="s">
        <v>103</v>
      </c>
      <c r="C43" s="4" t="s">
        <v>199</v>
      </c>
      <c r="D43" s="4" t="s">
        <v>126</v>
      </c>
      <c r="E43" s="4" t="s">
        <v>105</v>
      </c>
      <c r="F43" s="5">
        <v>54</v>
      </c>
      <c r="G43" s="8">
        <f t="shared" si="0"/>
        <v>3.3394763206392005E-4</v>
      </c>
    </row>
    <row r="44" spans="1:7" x14ac:dyDescent="0.3">
      <c r="A44" s="4" t="s">
        <v>200</v>
      </c>
      <c r="B44" s="4" t="s">
        <v>100</v>
      </c>
      <c r="C44" s="4" t="s">
        <v>201</v>
      </c>
      <c r="D44" s="4" t="s">
        <v>126</v>
      </c>
      <c r="E44" s="4" t="s">
        <v>105</v>
      </c>
      <c r="F44" s="5">
        <v>33</v>
      </c>
      <c r="G44" s="8">
        <f t="shared" si="0"/>
        <v>2.0407910848350671E-4</v>
      </c>
    </row>
    <row r="45" spans="1:7" x14ac:dyDescent="0.3">
      <c r="A45" s="9" t="s">
        <v>117</v>
      </c>
      <c r="B45" s="9"/>
      <c r="C45" s="9"/>
      <c r="D45" s="9"/>
      <c r="E45" s="9"/>
      <c r="F45" s="10">
        <f>SUM(F5:F44)</f>
        <v>161702</v>
      </c>
      <c r="G45" s="11">
        <f>SUM(G5:G44)</f>
        <v>1.0000000000000002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8" width="14" customWidth="1"/>
    <col min="9" max="9" width="12" customWidth="1"/>
  </cols>
  <sheetData>
    <row r="1" spans="1:9" ht="17.399999999999999" x14ac:dyDescent="0.3">
      <c r="A1" s="1" t="s">
        <v>202</v>
      </c>
    </row>
    <row r="2" spans="1:9" x14ac:dyDescent="0.3">
      <c r="A2" s="2" t="s">
        <v>203</v>
      </c>
    </row>
    <row r="4" spans="1:9" ht="26.4" x14ac:dyDescent="0.3">
      <c r="A4" s="3" t="s">
        <v>204</v>
      </c>
      <c r="B4" s="3" t="s">
        <v>109</v>
      </c>
      <c r="C4" s="3" t="s">
        <v>115</v>
      </c>
      <c r="D4" s="3" t="s">
        <v>111</v>
      </c>
      <c r="E4" s="3" t="s">
        <v>106</v>
      </c>
      <c r="F4" s="3" t="s">
        <v>113</v>
      </c>
      <c r="G4" s="3" t="s">
        <v>103</v>
      </c>
      <c r="H4" s="3" t="s">
        <v>100</v>
      </c>
      <c r="I4" s="3" t="s">
        <v>117</v>
      </c>
    </row>
    <row r="5" spans="1:9" x14ac:dyDescent="0.3">
      <c r="A5" s="4" t="s">
        <v>121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33601</v>
      </c>
      <c r="I5" s="5">
        <f t="shared" ref="I5:I44" si="0">SUM(B5:H5)</f>
        <v>33601</v>
      </c>
    </row>
    <row r="6" spans="1:9" x14ac:dyDescent="0.3">
      <c r="A6" s="4" t="s">
        <v>124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23287</v>
      </c>
      <c r="I6" s="5">
        <f t="shared" si="0"/>
        <v>23287</v>
      </c>
    </row>
    <row r="7" spans="1:9" x14ac:dyDescent="0.3">
      <c r="A7" s="4" t="s">
        <v>127</v>
      </c>
      <c r="B7" s="5">
        <v>0</v>
      </c>
      <c r="C7" s="5">
        <v>0</v>
      </c>
      <c r="D7" s="5">
        <v>0</v>
      </c>
      <c r="E7" s="5">
        <v>18615</v>
      </c>
      <c r="F7" s="5">
        <v>0</v>
      </c>
      <c r="G7" s="5">
        <v>0</v>
      </c>
      <c r="H7" s="5">
        <v>0</v>
      </c>
      <c r="I7" s="5">
        <f t="shared" si="0"/>
        <v>18615</v>
      </c>
    </row>
    <row r="8" spans="1:9" x14ac:dyDescent="0.3">
      <c r="A8" s="4" t="s">
        <v>129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16264</v>
      </c>
      <c r="I8" s="5">
        <f t="shared" si="0"/>
        <v>16264</v>
      </c>
    </row>
    <row r="9" spans="1:9" x14ac:dyDescent="0.3">
      <c r="A9" s="4" t="s">
        <v>131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15432</v>
      </c>
      <c r="H9" s="5">
        <v>0</v>
      </c>
      <c r="I9" s="5">
        <f t="shared" si="0"/>
        <v>15432</v>
      </c>
    </row>
    <row r="10" spans="1:9" x14ac:dyDescent="0.3">
      <c r="A10" s="4" t="s">
        <v>133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10998</v>
      </c>
      <c r="H10" s="5">
        <v>0</v>
      </c>
      <c r="I10" s="5">
        <f t="shared" si="0"/>
        <v>10998</v>
      </c>
    </row>
    <row r="11" spans="1:9" x14ac:dyDescent="0.3">
      <c r="A11" s="4" t="s">
        <v>135</v>
      </c>
      <c r="B11" s="5">
        <v>0</v>
      </c>
      <c r="C11" s="5">
        <v>0</v>
      </c>
      <c r="D11" s="5">
        <v>0</v>
      </c>
      <c r="E11" s="5">
        <v>7920</v>
      </c>
      <c r="F11" s="5">
        <v>0</v>
      </c>
      <c r="G11" s="5">
        <v>0</v>
      </c>
      <c r="H11" s="5">
        <v>0</v>
      </c>
      <c r="I11" s="5">
        <f t="shared" si="0"/>
        <v>7920</v>
      </c>
    </row>
    <row r="12" spans="1:9" x14ac:dyDescent="0.3">
      <c r="A12" s="4" t="s">
        <v>137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6941</v>
      </c>
      <c r="I12" s="5">
        <f t="shared" si="0"/>
        <v>6941</v>
      </c>
    </row>
    <row r="13" spans="1:9" x14ac:dyDescent="0.3">
      <c r="A13" s="4" t="s">
        <v>109</v>
      </c>
      <c r="B13" s="5">
        <v>5284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f t="shared" si="0"/>
        <v>5284</v>
      </c>
    </row>
    <row r="14" spans="1:9" x14ac:dyDescent="0.3">
      <c r="A14" s="4" t="s">
        <v>140</v>
      </c>
      <c r="B14" s="5">
        <v>0</v>
      </c>
      <c r="C14" s="5">
        <v>0</v>
      </c>
      <c r="D14" s="5">
        <v>0</v>
      </c>
      <c r="E14" s="5">
        <v>2773</v>
      </c>
      <c r="F14" s="5">
        <v>0</v>
      </c>
      <c r="G14" s="5">
        <v>0</v>
      </c>
      <c r="H14" s="5">
        <v>0</v>
      </c>
      <c r="I14" s="5">
        <f t="shared" si="0"/>
        <v>2773</v>
      </c>
    </row>
    <row r="15" spans="1:9" x14ac:dyDescent="0.3">
      <c r="A15" s="4" t="s">
        <v>142</v>
      </c>
      <c r="B15" s="5">
        <v>0</v>
      </c>
      <c r="C15" s="5">
        <v>0</v>
      </c>
      <c r="D15" s="5">
        <v>2586</v>
      </c>
      <c r="E15" s="5">
        <v>0</v>
      </c>
      <c r="F15" s="5">
        <v>0</v>
      </c>
      <c r="G15" s="5">
        <v>0</v>
      </c>
      <c r="H15" s="5">
        <v>0</v>
      </c>
      <c r="I15" s="5">
        <f t="shared" si="0"/>
        <v>2586</v>
      </c>
    </row>
    <row r="16" spans="1:9" x14ac:dyDescent="0.3">
      <c r="A16" s="4" t="s">
        <v>144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2283</v>
      </c>
      <c r="I16" s="5">
        <f t="shared" si="0"/>
        <v>2283</v>
      </c>
    </row>
    <row r="17" spans="1:9" x14ac:dyDescent="0.3">
      <c r="A17" s="4" t="s">
        <v>146</v>
      </c>
      <c r="B17" s="5">
        <v>0</v>
      </c>
      <c r="C17" s="5">
        <v>1840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f t="shared" si="0"/>
        <v>1840</v>
      </c>
    </row>
    <row r="18" spans="1:9" x14ac:dyDescent="0.3">
      <c r="A18" s="4" t="s">
        <v>148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1572</v>
      </c>
      <c r="H18" s="5">
        <v>0</v>
      </c>
      <c r="I18" s="5">
        <f t="shared" si="0"/>
        <v>1572</v>
      </c>
    </row>
    <row r="19" spans="1:9" x14ac:dyDescent="0.3">
      <c r="A19" s="4" t="s">
        <v>150</v>
      </c>
      <c r="B19" s="5">
        <v>0</v>
      </c>
      <c r="C19" s="5">
        <v>0</v>
      </c>
      <c r="D19" s="5">
        <v>0</v>
      </c>
      <c r="E19" s="5">
        <v>0</v>
      </c>
      <c r="F19" s="5">
        <v>1464</v>
      </c>
      <c r="G19" s="5">
        <v>0</v>
      </c>
      <c r="H19" s="5">
        <v>0</v>
      </c>
      <c r="I19" s="5">
        <f t="shared" si="0"/>
        <v>1464</v>
      </c>
    </row>
    <row r="20" spans="1:9" x14ac:dyDescent="0.3">
      <c r="A20" s="4" t="s">
        <v>152</v>
      </c>
      <c r="B20" s="5">
        <v>0</v>
      </c>
      <c r="C20" s="5">
        <v>0</v>
      </c>
      <c r="D20" s="5">
        <v>1240</v>
      </c>
      <c r="E20" s="5">
        <v>0</v>
      </c>
      <c r="F20" s="5">
        <v>0</v>
      </c>
      <c r="G20" s="5">
        <v>0</v>
      </c>
      <c r="H20" s="5">
        <v>0</v>
      </c>
      <c r="I20" s="5">
        <f t="shared" si="0"/>
        <v>1240</v>
      </c>
    </row>
    <row r="21" spans="1:9" x14ac:dyDescent="0.3">
      <c r="A21" s="4" t="s">
        <v>154</v>
      </c>
      <c r="B21" s="5">
        <v>0</v>
      </c>
      <c r="C21" s="5">
        <v>0</v>
      </c>
      <c r="D21" s="5">
        <v>0</v>
      </c>
      <c r="E21" s="5">
        <v>0</v>
      </c>
      <c r="F21" s="5">
        <v>1231</v>
      </c>
      <c r="G21" s="5">
        <v>0</v>
      </c>
      <c r="H21" s="5">
        <v>0</v>
      </c>
      <c r="I21" s="5">
        <f t="shared" si="0"/>
        <v>1231</v>
      </c>
    </row>
    <row r="22" spans="1:9" x14ac:dyDescent="0.3">
      <c r="A22" s="4" t="s">
        <v>156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1014</v>
      </c>
      <c r="H22" s="5">
        <v>0</v>
      </c>
      <c r="I22" s="5">
        <f t="shared" si="0"/>
        <v>1014</v>
      </c>
    </row>
    <row r="23" spans="1:9" x14ac:dyDescent="0.3">
      <c r="A23" s="4" t="s">
        <v>158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876</v>
      </c>
      <c r="H23" s="5">
        <v>0</v>
      </c>
      <c r="I23" s="5">
        <f t="shared" si="0"/>
        <v>876</v>
      </c>
    </row>
    <row r="24" spans="1:9" x14ac:dyDescent="0.3">
      <c r="A24" s="4" t="s">
        <v>160</v>
      </c>
      <c r="B24" s="5">
        <v>0</v>
      </c>
      <c r="C24" s="5">
        <v>0</v>
      </c>
      <c r="D24" s="5">
        <v>0</v>
      </c>
      <c r="E24" s="5">
        <v>0</v>
      </c>
      <c r="F24" s="5">
        <v>769</v>
      </c>
      <c r="G24" s="5">
        <v>0</v>
      </c>
      <c r="H24" s="5">
        <v>0</v>
      </c>
      <c r="I24" s="5">
        <f t="shared" si="0"/>
        <v>769</v>
      </c>
    </row>
    <row r="25" spans="1:9" x14ac:dyDescent="0.3">
      <c r="A25" s="4" t="s">
        <v>162</v>
      </c>
      <c r="B25" s="5">
        <v>0</v>
      </c>
      <c r="C25" s="5">
        <v>0</v>
      </c>
      <c r="D25" s="5">
        <v>0</v>
      </c>
      <c r="E25" s="5">
        <v>0</v>
      </c>
      <c r="F25" s="5">
        <v>695</v>
      </c>
      <c r="G25" s="5">
        <v>0</v>
      </c>
      <c r="H25" s="5">
        <v>0</v>
      </c>
      <c r="I25" s="5">
        <f t="shared" si="0"/>
        <v>695</v>
      </c>
    </row>
    <row r="26" spans="1:9" x14ac:dyDescent="0.3">
      <c r="A26" s="4" t="s">
        <v>164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652</v>
      </c>
      <c r="H26" s="5">
        <v>0</v>
      </c>
      <c r="I26" s="5">
        <f t="shared" si="0"/>
        <v>652</v>
      </c>
    </row>
    <row r="27" spans="1:9" x14ac:dyDescent="0.3">
      <c r="A27" s="4" t="s">
        <v>166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650</v>
      </c>
      <c r="H27" s="5">
        <v>0</v>
      </c>
      <c r="I27" s="5">
        <f t="shared" si="0"/>
        <v>650</v>
      </c>
    </row>
    <row r="28" spans="1:9" x14ac:dyDescent="0.3">
      <c r="A28" s="4" t="s">
        <v>168</v>
      </c>
      <c r="B28" s="5">
        <v>0</v>
      </c>
      <c r="C28" s="5">
        <v>497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f t="shared" si="0"/>
        <v>497</v>
      </c>
    </row>
    <row r="29" spans="1:9" x14ac:dyDescent="0.3">
      <c r="A29" s="4" t="s">
        <v>170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471</v>
      </c>
      <c r="I29" s="5">
        <f t="shared" si="0"/>
        <v>471</v>
      </c>
    </row>
    <row r="30" spans="1:9" x14ac:dyDescent="0.3">
      <c r="A30" s="4" t="s">
        <v>172</v>
      </c>
      <c r="B30" s="5">
        <v>0</v>
      </c>
      <c r="C30" s="5">
        <v>0</v>
      </c>
      <c r="D30" s="5">
        <v>388</v>
      </c>
      <c r="E30" s="5">
        <v>0</v>
      </c>
      <c r="F30" s="5">
        <v>0</v>
      </c>
      <c r="G30" s="5">
        <v>0</v>
      </c>
      <c r="H30" s="5">
        <v>0</v>
      </c>
      <c r="I30" s="5">
        <f t="shared" si="0"/>
        <v>388</v>
      </c>
    </row>
    <row r="31" spans="1:9" x14ac:dyDescent="0.3">
      <c r="A31" s="4" t="s">
        <v>174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338</v>
      </c>
      <c r="H31" s="5">
        <v>0</v>
      </c>
      <c r="I31" s="5">
        <f t="shared" si="0"/>
        <v>338</v>
      </c>
    </row>
    <row r="32" spans="1:9" x14ac:dyDescent="0.3">
      <c r="A32" s="4" t="s">
        <v>176</v>
      </c>
      <c r="B32" s="5">
        <v>0</v>
      </c>
      <c r="C32" s="5">
        <v>0</v>
      </c>
      <c r="D32" s="5">
        <v>329</v>
      </c>
      <c r="E32" s="5">
        <v>0</v>
      </c>
      <c r="F32" s="5">
        <v>0</v>
      </c>
      <c r="G32" s="5">
        <v>0</v>
      </c>
      <c r="H32" s="5">
        <v>0</v>
      </c>
      <c r="I32" s="5">
        <f t="shared" si="0"/>
        <v>329</v>
      </c>
    </row>
    <row r="33" spans="1:9" x14ac:dyDescent="0.3">
      <c r="A33" s="4" t="s">
        <v>178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300</v>
      </c>
      <c r="H33" s="5">
        <v>0</v>
      </c>
      <c r="I33" s="5">
        <f t="shared" si="0"/>
        <v>300</v>
      </c>
    </row>
    <row r="34" spans="1:9" x14ac:dyDescent="0.3">
      <c r="A34" s="4" t="s">
        <v>180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267</v>
      </c>
      <c r="I34" s="5">
        <f t="shared" si="0"/>
        <v>267</v>
      </c>
    </row>
    <row r="35" spans="1:9" x14ac:dyDescent="0.3">
      <c r="A35" s="4" t="s">
        <v>182</v>
      </c>
      <c r="B35" s="5">
        <v>0</v>
      </c>
      <c r="C35" s="5">
        <v>0</v>
      </c>
      <c r="D35" s="5">
        <v>0</v>
      </c>
      <c r="E35" s="5">
        <v>0</v>
      </c>
      <c r="F35" s="5">
        <v>188</v>
      </c>
      <c r="G35" s="5">
        <v>0</v>
      </c>
      <c r="H35" s="5">
        <v>0</v>
      </c>
      <c r="I35" s="5">
        <f t="shared" si="0"/>
        <v>188</v>
      </c>
    </row>
    <row r="36" spans="1:9" x14ac:dyDescent="0.3">
      <c r="A36" s="4" t="s">
        <v>184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177</v>
      </c>
      <c r="H36" s="5">
        <v>0</v>
      </c>
      <c r="I36" s="5">
        <f t="shared" si="0"/>
        <v>177</v>
      </c>
    </row>
    <row r="37" spans="1:9" x14ac:dyDescent="0.3">
      <c r="A37" s="4" t="s">
        <v>186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156</v>
      </c>
      <c r="H37" s="5">
        <v>0</v>
      </c>
      <c r="I37" s="5">
        <f t="shared" si="0"/>
        <v>156</v>
      </c>
    </row>
    <row r="38" spans="1:9" x14ac:dyDescent="0.3">
      <c r="A38" s="4" t="s">
        <v>188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155</v>
      </c>
      <c r="H38" s="5">
        <v>0</v>
      </c>
      <c r="I38" s="5">
        <f t="shared" si="0"/>
        <v>155</v>
      </c>
    </row>
    <row r="39" spans="1:9" x14ac:dyDescent="0.3">
      <c r="A39" s="4" t="s">
        <v>190</v>
      </c>
      <c r="B39" s="5">
        <v>0</v>
      </c>
      <c r="C39" s="5">
        <v>143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f t="shared" si="0"/>
        <v>143</v>
      </c>
    </row>
    <row r="40" spans="1:9" x14ac:dyDescent="0.3">
      <c r="A40" s="4" t="s">
        <v>192</v>
      </c>
      <c r="B40" s="5">
        <v>0</v>
      </c>
      <c r="C40" s="5">
        <v>0</v>
      </c>
      <c r="D40" s="5">
        <v>0</v>
      </c>
      <c r="E40" s="5">
        <v>0</v>
      </c>
      <c r="F40" s="5">
        <v>76</v>
      </c>
      <c r="G40" s="5">
        <v>0</v>
      </c>
      <c r="H40" s="5">
        <v>0</v>
      </c>
      <c r="I40" s="5">
        <f t="shared" si="0"/>
        <v>76</v>
      </c>
    </row>
    <row r="41" spans="1:9" x14ac:dyDescent="0.3">
      <c r="A41" s="4" t="s">
        <v>194</v>
      </c>
      <c r="B41" s="5">
        <v>0</v>
      </c>
      <c r="C41" s="5">
        <v>0</v>
      </c>
      <c r="D41" s="5">
        <v>0</v>
      </c>
      <c r="E41" s="5">
        <v>0</v>
      </c>
      <c r="F41" s="5">
        <v>75</v>
      </c>
      <c r="G41" s="5">
        <v>0</v>
      </c>
      <c r="H41" s="5">
        <v>0</v>
      </c>
      <c r="I41" s="5">
        <f t="shared" si="0"/>
        <v>75</v>
      </c>
    </row>
    <row r="42" spans="1:9" x14ac:dyDescent="0.3">
      <c r="A42" s="4" t="s">
        <v>196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68</v>
      </c>
      <c r="H42" s="5">
        <v>0</v>
      </c>
      <c r="I42" s="5">
        <f t="shared" si="0"/>
        <v>68</v>
      </c>
    </row>
    <row r="43" spans="1:9" x14ac:dyDescent="0.3">
      <c r="A43" s="4" t="s">
        <v>198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54</v>
      </c>
      <c r="H43" s="5">
        <v>0</v>
      </c>
      <c r="I43" s="5">
        <f t="shared" si="0"/>
        <v>54</v>
      </c>
    </row>
    <row r="44" spans="1:9" x14ac:dyDescent="0.3">
      <c r="A44" s="4" t="s">
        <v>200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33</v>
      </c>
      <c r="I44" s="5">
        <f t="shared" si="0"/>
        <v>33</v>
      </c>
    </row>
    <row r="45" spans="1:9" x14ac:dyDescent="0.3">
      <c r="A45" s="9" t="s">
        <v>117</v>
      </c>
      <c r="B45" s="10">
        <f t="shared" ref="B45:I45" si="1">SUM(B5:B44)</f>
        <v>5284</v>
      </c>
      <c r="C45" s="10">
        <f t="shared" si="1"/>
        <v>2480</v>
      </c>
      <c r="D45" s="10">
        <f t="shared" si="1"/>
        <v>4543</v>
      </c>
      <c r="E45" s="10">
        <f t="shared" si="1"/>
        <v>29308</v>
      </c>
      <c r="F45" s="10">
        <f t="shared" si="1"/>
        <v>4498</v>
      </c>
      <c r="G45" s="10">
        <f t="shared" si="1"/>
        <v>32442</v>
      </c>
      <c r="H45" s="10">
        <f t="shared" si="1"/>
        <v>83147</v>
      </c>
      <c r="I45" s="10">
        <f t="shared" si="1"/>
        <v>161702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2" customWidth="1"/>
    <col min="3" max="3" width="14" customWidth="1"/>
    <col min="4" max="4" width="18" customWidth="1"/>
  </cols>
  <sheetData>
    <row r="1" spans="1:4" ht="17.399999999999999" x14ac:dyDescent="0.3">
      <c r="A1" s="1" t="s">
        <v>205</v>
      </c>
    </row>
    <row r="2" spans="1:4" x14ac:dyDescent="0.3">
      <c r="A2" s="2" t="s">
        <v>206</v>
      </c>
    </row>
    <row r="4" spans="1:4" ht="26.4" x14ac:dyDescent="0.3">
      <c r="A4" s="3" t="s">
        <v>2</v>
      </c>
      <c r="B4" s="3" t="s">
        <v>98</v>
      </c>
      <c r="C4" s="3" t="s">
        <v>99</v>
      </c>
      <c r="D4" s="15" t="s">
        <v>207</v>
      </c>
    </row>
    <row r="5" spans="1:4" x14ac:dyDescent="0.3">
      <c r="A5" s="4" t="s">
        <v>208</v>
      </c>
      <c r="B5" s="5">
        <v>26646</v>
      </c>
      <c r="C5" s="8">
        <f t="shared" ref="C5:C14" si="0">B5/B$15</f>
        <v>0.16478460377731877</v>
      </c>
      <c r="D5" s="16">
        <f t="shared" ref="D5:D13" si="1">B5/SUM(B$5:B$13)</f>
        <v>0.32046856771741616</v>
      </c>
    </row>
    <row r="6" spans="1:4" x14ac:dyDescent="0.3">
      <c r="A6" s="4" t="s">
        <v>209</v>
      </c>
      <c r="B6" s="5">
        <v>20144</v>
      </c>
      <c r="C6" s="8">
        <f t="shared" si="0"/>
        <v>0.12457483519065936</v>
      </c>
      <c r="D6" s="16">
        <f t="shared" si="1"/>
        <v>0.24226971508292541</v>
      </c>
    </row>
    <row r="7" spans="1:4" x14ac:dyDescent="0.3">
      <c r="A7" s="4" t="s">
        <v>210</v>
      </c>
      <c r="B7" s="5">
        <v>18562</v>
      </c>
      <c r="C7" s="8">
        <f t="shared" si="0"/>
        <v>0.11479140641426822</v>
      </c>
      <c r="D7" s="16">
        <f t="shared" si="1"/>
        <v>0.22324317173199273</v>
      </c>
    </row>
    <row r="8" spans="1:4" x14ac:dyDescent="0.3">
      <c r="A8" s="4" t="s">
        <v>211</v>
      </c>
      <c r="B8" s="5">
        <v>5591</v>
      </c>
      <c r="C8" s="8">
        <f t="shared" si="0"/>
        <v>3.4575948349432908E-2</v>
      </c>
      <c r="D8" s="16">
        <f t="shared" si="1"/>
        <v>6.7242353903327848E-2</v>
      </c>
    </row>
    <row r="9" spans="1:4" x14ac:dyDescent="0.3">
      <c r="A9" s="4" t="s">
        <v>212</v>
      </c>
      <c r="B9" s="5">
        <v>3928</v>
      </c>
      <c r="C9" s="8">
        <f t="shared" si="0"/>
        <v>2.4291598124945888E-2</v>
      </c>
      <c r="D9" s="16">
        <f t="shared" si="1"/>
        <v>4.7241632289799995E-2</v>
      </c>
    </row>
    <row r="10" spans="1:4" x14ac:dyDescent="0.3">
      <c r="A10" s="4" t="s">
        <v>213</v>
      </c>
      <c r="B10" s="5">
        <v>3769</v>
      </c>
      <c r="C10" s="8">
        <f t="shared" si="0"/>
        <v>2.3308307874979901E-2</v>
      </c>
      <c r="D10" s="16">
        <f t="shared" si="1"/>
        <v>4.5329356441002083E-2</v>
      </c>
    </row>
    <row r="11" spans="1:4" x14ac:dyDescent="0.3">
      <c r="A11" s="4" t="s">
        <v>214</v>
      </c>
      <c r="B11" s="5">
        <v>2904</v>
      </c>
      <c r="C11" s="8">
        <f t="shared" si="0"/>
        <v>1.795896154654859E-2</v>
      </c>
      <c r="D11" s="16">
        <f t="shared" si="1"/>
        <v>3.4926094747856205E-2</v>
      </c>
    </row>
    <row r="12" spans="1:4" x14ac:dyDescent="0.3">
      <c r="A12" s="4" t="s">
        <v>215</v>
      </c>
      <c r="B12" s="5">
        <v>1056</v>
      </c>
      <c r="C12" s="8">
        <f t="shared" si="0"/>
        <v>6.5305314714722146E-3</v>
      </c>
      <c r="D12" s="16">
        <f t="shared" si="1"/>
        <v>1.270039809012953E-2</v>
      </c>
    </row>
    <row r="13" spans="1:4" x14ac:dyDescent="0.3">
      <c r="A13" s="4" t="s">
        <v>216</v>
      </c>
      <c r="B13" s="5">
        <v>547</v>
      </c>
      <c r="C13" s="8">
        <f t="shared" si="0"/>
        <v>3.3827658284993384E-3</v>
      </c>
      <c r="D13" s="16">
        <f t="shared" si="1"/>
        <v>6.5787099955500498E-3</v>
      </c>
    </row>
    <row r="14" spans="1:4" x14ac:dyDescent="0.3">
      <c r="A14" s="4" t="s">
        <v>217</v>
      </c>
      <c r="B14" s="5">
        <v>78555</v>
      </c>
      <c r="C14" s="8">
        <f t="shared" si="0"/>
        <v>0.4858010414218748</v>
      </c>
    </row>
    <row r="15" spans="1:4" x14ac:dyDescent="0.3">
      <c r="A15" s="9" t="s">
        <v>117</v>
      </c>
      <c r="B15" s="10">
        <f>SUM(B5:B14)</f>
        <v>161702</v>
      </c>
      <c r="C15" s="11">
        <f>SUM(C5:C14)</f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2" customWidth="1"/>
    <col min="3" max="3" width="14" customWidth="1"/>
    <col min="4" max="4" width="18" customWidth="1"/>
  </cols>
  <sheetData>
    <row r="1" spans="1:4" ht="17.399999999999999" x14ac:dyDescent="0.3">
      <c r="A1" s="1" t="s">
        <v>218</v>
      </c>
    </row>
    <row r="2" spans="1:4" x14ac:dyDescent="0.3">
      <c r="A2" s="2" t="s">
        <v>219</v>
      </c>
    </row>
    <row r="4" spans="1:4" ht="26.4" x14ac:dyDescent="0.3">
      <c r="A4" s="3" t="s">
        <v>2</v>
      </c>
      <c r="B4" s="3" t="s">
        <v>98</v>
      </c>
      <c r="C4" s="3" t="s">
        <v>99</v>
      </c>
      <c r="D4" s="15" t="s">
        <v>207</v>
      </c>
    </row>
    <row r="5" spans="1:4" x14ac:dyDescent="0.3">
      <c r="A5" s="4" t="s">
        <v>208</v>
      </c>
      <c r="B5" s="5">
        <v>26646</v>
      </c>
      <c r="C5" s="8">
        <f t="shared" ref="C5:C24" si="0">B5/B$25</f>
        <v>0.16478460377731877</v>
      </c>
      <c r="D5" s="16">
        <f t="shared" ref="D5:D23" si="1">B5/SUM(B$5:B$23)</f>
        <v>0.32046856771741616</v>
      </c>
    </row>
    <row r="6" spans="1:4" x14ac:dyDescent="0.3">
      <c r="A6" s="4" t="s">
        <v>209</v>
      </c>
      <c r="B6" s="5">
        <v>20144</v>
      </c>
      <c r="C6" s="8">
        <f t="shared" si="0"/>
        <v>0.12457483519065936</v>
      </c>
      <c r="D6" s="16">
        <f t="shared" si="1"/>
        <v>0.24226971508292541</v>
      </c>
    </row>
    <row r="7" spans="1:4" x14ac:dyDescent="0.3">
      <c r="A7" s="4" t="s">
        <v>210</v>
      </c>
      <c r="B7" s="5">
        <v>18562</v>
      </c>
      <c r="C7" s="8">
        <f t="shared" si="0"/>
        <v>0.11479140641426822</v>
      </c>
      <c r="D7" s="16">
        <f t="shared" si="1"/>
        <v>0.22324317173199273</v>
      </c>
    </row>
    <row r="8" spans="1:4" x14ac:dyDescent="0.3">
      <c r="A8" s="4" t="s">
        <v>212</v>
      </c>
      <c r="B8" s="5">
        <v>3928</v>
      </c>
      <c r="C8" s="8">
        <f t="shared" si="0"/>
        <v>2.4291598124945888E-2</v>
      </c>
      <c r="D8" s="16">
        <f t="shared" si="1"/>
        <v>4.7241632289799995E-2</v>
      </c>
    </row>
    <row r="9" spans="1:4" x14ac:dyDescent="0.3">
      <c r="A9" s="4" t="s">
        <v>213</v>
      </c>
      <c r="B9" s="5">
        <v>3769</v>
      </c>
      <c r="C9" s="8">
        <f t="shared" si="0"/>
        <v>2.3308307874979901E-2</v>
      </c>
      <c r="D9" s="16">
        <f t="shared" si="1"/>
        <v>4.5329356441002083E-2</v>
      </c>
    </row>
    <row r="10" spans="1:4" x14ac:dyDescent="0.3">
      <c r="A10" s="4" t="s">
        <v>220</v>
      </c>
      <c r="B10" s="5">
        <v>1316</v>
      </c>
      <c r="C10" s="8">
        <f t="shared" si="0"/>
        <v>8.1384274777059028E-3</v>
      </c>
      <c r="D10" s="16">
        <f t="shared" si="1"/>
        <v>1.5827390044138693E-2</v>
      </c>
    </row>
    <row r="11" spans="1:4" x14ac:dyDescent="0.3">
      <c r="A11" s="4" t="s">
        <v>221</v>
      </c>
      <c r="B11" s="5">
        <v>1245</v>
      </c>
      <c r="C11" s="8">
        <f t="shared" si="0"/>
        <v>7.6993481836959343E-3</v>
      </c>
      <c r="D11" s="16">
        <f t="shared" si="1"/>
        <v>1.4973480702851576E-2</v>
      </c>
    </row>
    <row r="12" spans="1:4" x14ac:dyDescent="0.3">
      <c r="A12" s="4" t="s">
        <v>215</v>
      </c>
      <c r="B12" s="5">
        <v>1056</v>
      </c>
      <c r="C12" s="8">
        <f t="shared" si="0"/>
        <v>6.5305314714722146E-3</v>
      </c>
      <c r="D12" s="16">
        <f t="shared" si="1"/>
        <v>1.270039809012953E-2</v>
      </c>
    </row>
    <row r="13" spans="1:4" x14ac:dyDescent="0.3">
      <c r="A13" s="4" t="s">
        <v>222</v>
      </c>
      <c r="B13" s="5">
        <v>1022</v>
      </c>
      <c r="C13" s="8">
        <f t="shared" si="0"/>
        <v>6.3202681475801169E-3</v>
      </c>
      <c r="D13" s="16">
        <f t="shared" si="1"/>
        <v>1.2291483757682178E-2</v>
      </c>
    </row>
    <row r="14" spans="1:4" x14ac:dyDescent="0.3">
      <c r="A14" s="4" t="s">
        <v>223</v>
      </c>
      <c r="B14" s="5">
        <v>935</v>
      </c>
      <c r="C14" s="8">
        <f t="shared" si="0"/>
        <v>5.7822414070326901E-3</v>
      </c>
      <c r="D14" s="16">
        <f t="shared" si="1"/>
        <v>1.1245144142302188E-2</v>
      </c>
    </row>
    <row r="15" spans="1:4" x14ac:dyDescent="0.3">
      <c r="A15" s="4" t="s">
        <v>224</v>
      </c>
      <c r="B15" s="5">
        <v>870</v>
      </c>
      <c r="C15" s="8">
        <f t="shared" si="0"/>
        <v>5.3802674054742672E-3</v>
      </c>
      <c r="D15" s="16">
        <f t="shared" si="1"/>
        <v>1.0463396153799896E-2</v>
      </c>
    </row>
    <row r="16" spans="1:4" x14ac:dyDescent="0.3">
      <c r="A16" s="4" t="s">
        <v>225</v>
      </c>
      <c r="B16" s="5">
        <v>720</v>
      </c>
      <c r="C16" s="8">
        <f t="shared" si="0"/>
        <v>4.4526350941856011E-3</v>
      </c>
      <c r="D16" s="16">
        <f t="shared" si="1"/>
        <v>8.6593623341792245E-3</v>
      </c>
    </row>
    <row r="17" spans="1:4" x14ac:dyDescent="0.3">
      <c r="A17" s="4" t="s">
        <v>226</v>
      </c>
      <c r="B17" s="5">
        <v>712</v>
      </c>
      <c r="C17" s="8">
        <f t="shared" si="0"/>
        <v>4.4031613709168719E-3</v>
      </c>
      <c r="D17" s="16">
        <f t="shared" si="1"/>
        <v>8.5631471971327894E-3</v>
      </c>
    </row>
    <row r="18" spans="1:4" x14ac:dyDescent="0.3">
      <c r="A18" s="4" t="s">
        <v>216</v>
      </c>
      <c r="B18" s="5">
        <v>547</v>
      </c>
      <c r="C18" s="8">
        <f t="shared" si="0"/>
        <v>3.3827658284993384E-3</v>
      </c>
      <c r="D18" s="16">
        <f t="shared" si="1"/>
        <v>6.5787099955500498E-3</v>
      </c>
    </row>
    <row r="19" spans="1:4" x14ac:dyDescent="0.3">
      <c r="A19" s="4" t="s">
        <v>227</v>
      </c>
      <c r="B19" s="5">
        <v>465</v>
      </c>
      <c r="C19" s="8">
        <f t="shared" si="0"/>
        <v>2.8756601649948671E-3</v>
      </c>
      <c r="D19" s="16">
        <f t="shared" si="1"/>
        <v>5.592504840824083E-3</v>
      </c>
    </row>
    <row r="20" spans="1:4" x14ac:dyDescent="0.3">
      <c r="A20" s="4" t="s">
        <v>228</v>
      </c>
      <c r="B20" s="5">
        <v>418</v>
      </c>
      <c r="C20" s="8">
        <f t="shared" si="0"/>
        <v>2.5850020407910848E-3</v>
      </c>
      <c r="D20" s="16">
        <f t="shared" si="1"/>
        <v>5.0272409106762719E-3</v>
      </c>
    </row>
    <row r="21" spans="1:4" x14ac:dyDescent="0.3">
      <c r="A21" s="4" t="s">
        <v>229</v>
      </c>
      <c r="B21" s="5">
        <v>328</v>
      </c>
      <c r="C21" s="8">
        <f t="shared" si="0"/>
        <v>2.0284226540178848E-3</v>
      </c>
      <c r="D21" s="16">
        <f t="shared" si="1"/>
        <v>3.9448206189038691E-3</v>
      </c>
    </row>
    <row r="22" spans="1:4" x14ac:dyDescent="0.3">
      <c r="A22" s="4" t="s">
        <v>230</v>
      </c>
      <c r="B22" s="5">
        <v>263</v>
      </c>
      <c r="C22" s="8">
        <f t="shared" si="0"/>
        <v>1.6264486524594625E-3</v>
      </c>
      <c r="D22" s="16">
        <f t="shared" si="1"/>
        <v>3.163072630401578E-3</v>
      </c>
    </row>
    <row r="23" spans="1:4" x14ac:dyDescent="0.3">
      <c r="A23" s="4" t="s">
        <v>231</v>
      </c>
      <c r="B23" s="5">
        <v>201</v>
      </c>
      <c r="C23" s="8">
        <f t="shared" si="0"/>
        <v>1.2430272971268135E-3</v>
      </c>
      <c r="D23" s="16">
        <f t="shared" si="1"/>
        <v>2.4174053182917004E-3</v>
      </c>
    </row>
    <row r="24" spans="1:4" x14ac:dyDescent="0.3">
      <c r="A24" s="4" t="s">
        <v>217</v>
      </c>
      <c r="B24" s="5">
        <v>78555</v>
      </c>
      <c r="C24" s="8">
        <f t="shared" si="0"/>
        <v>0.4858010414218748</v>
      </c>
    </row>
    <row r="25" spans="1:4" x14ac:dyDescent="0.3">
      <c r="A25" s="9" t="s">
        <v>117</v>
      </c>
      <c r="B25" s="10">
        <f>SUM(B5:B24)</f>
        <v>161702</v>
      </c>
      <c r="C25" s="11">
        <f>SUM(C5:C24)</f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60" customWidth="1"/>
    <col min="3" max="3" width="12" customWidth="1"/>
    <col min="4" max="4" width="14" customWidth="1"/>
    <col min="5" max="5" width="18" customWidth="1"/>
  </cols>
  <sheetData>
    <row r="1" spans="1:5" ht="17.399999999999999" x14ac:dyDescent="0.3">
      <c r="A1" s="1" t="s">
        <v>232</v>
      </c>
    </row>
    <row r="2" spans="1:5" x14ac:dyDescent="0.3">
      <c r="A2" s="2" t="s">
        <v>233</v>
      </c>
    </row>
    <row r="4" spans="1:5" ht="26.4" x14ac:dyDescent="0.3">
      <c r="A4" s="3" t="s">
        <v>2</v>
      </c>
      <c r="B4" s="3" t="s">
        <v>96</v>
      </c>
      <c r="C4" s="3" t="s">
        <v>98</v>
      </c>
      <c r="D4" s="3" t="s">
        <v>99</v>
      </c>
      <c r="E4" s="15" t="s">
        <v>207</v>
      </c>
    </row>
    <row r="5" spans="1:5" x14ac:dyDescent="0.3">
      <c r="A5" s="4" t="s">
        <v>234</v>
      </c>
      <c r="B5" s="4" t="s">
        <v>235</v>
      </c>
      <c r="C5" s="5">
        <v>32560</v>
      </c>
      <c r="D5" s="8">
        <f t="shared" ref="D5:D14" si="0">C5/C$15</f>
        <v>0.20135805370372661</v>
      </c>
      <c r="E5" s="16">
        <f t="shared" ref="E5:E13" si="1">C5/SUM(C$5:C$13)</f>
        <v>0.39159560777899383</v>
      </c>
    </row>
    <row r="6" spans="1:5" x14ac:dyDescent="0.3">
      <c r="A6" s="4" t="s">
        <v>236</v>
      </c>
      <c r="B6" s="4" t="s">
        <v>237</v>
      </c>
      <c r="C6" s="5">
        <v>23597</v>
      </c>
      <c r="D6" s="8">
        <f t="shared" si="0"/>
        <v>0.14592893099652446</v>
      </c>
      <c r="E6" s="16">
        <f t="shared" si="1"/>
        <v>0.2837985736105933</v>
      </c>
    </row>
    <row r="7" spans="1:5" x14ac:dyDescent="0.3">
      <c r="A7" s="4" t="s">
        <v>238</v>
      </c>
      <c r="B7" s="4" t="s">
        <v>239</v>
      </c>
      <c r="C7" s="5">
        <v>13607</v>
      </c>
      <c r="D7" s="8">
        <f t="shared" si="0"/>
        <v>8.4148619064699268E-2</v>
      </c>
      <c r="E7" s="16">
        <f t="shared" si="1"/>
        <v>0.16364992122385655</v>
      </c>
    </row>
    <row r="8" spans="1:5" x14ac:dyDescent="0.3">
      <c r="A8" s="4" t="s">
        <v>240</v>
      </c>
      <c r="B8" s="4" t="s">
        <v>241</v>
      </c>
      <c r="C8" s="5">
        <v>5609</v>
      </c>
      <c r="D8" s="8">
        <f t="shared" si="0"/>
        <v>3.4687264226787549E-2</v>
      </c>
      <c r="E8" s="16">
        <f t="shared" si="1"/>
        <v>6.7458837961682325E-2</v>
      </c>
    </row>
    <row r="9" spans="1:5" x14ac:dyDescent="0.3">
      <c r="A9" s="4" t="s">
        <v>242</v>
      </c>
      <c r="B9" s="4" t="s">
        <v>243</v>
      </c>
      <c r="C9" s="5">
        <v>4821</v>
      </c>
      <c r="D9" s="8">
        <f t="shared" si="0"/>
        <v>2.981410248481775E-2</v>
      </c>
      <c r="E9" s="16">
        <f t="shared" si="1"/>
        <v>5.7981646962608394E-2</v>
      </c>
    </row>
    <row r="10" spans="1:5" x14ac:dyDescent="0.3">
      <c r="A10" s="4" t="s">
        <v>244</v>
      </c>
      <c r="B10" s="4" t="s">
        <v>245</v>
      </c>
      <c r="C10" s="5">
        <v>1085</v>
      </c>
      <c r="D10" s="8">
        <f t="shared" si="0"/>
        <v>6.7098737183213563E-3</v>
      </c>
      <c r="E10" s="16">
        <f t="shared" si="1"/>
        <v>1.3049177961922859E-2</v>
      </c>
    </row>
    <row r="11" spans="1:5" x14ac:dyDescent="0.3">
      <c r="A11" s="4" t="s">
        <v>246</v>
      </c>
      <c r="B11" s="4" t="s">
        <v>247</v>
      </c>
      <c r="C11" s="5">
        <v>815</v>
      </c>
      <c r="D11" s="8">
        <f t="shared" si="0"/>
        <v>5.0401355580017562E-3</v>
      </c>
      <c r="E11" s="16">
        <f t="shared" si="1"/>
        <v>9.80191708660565E-3</v>
      </c>
    </row>
    <row r="12" spans="1:5" x14ac:dyDescent="0.3">
      <c r="A12" s="4" t="s">
        <v>248</v>
      </c>
      <c r="B12" s="4" t="s">
        <v>249</v>
      </c>
      <c r="C12" s="5">
        <v>778</v>
      </c>
      <c r="D12" s="8">
        <f t="shared" si="0"/>
        <v>4.8113195878838853E-3</v>
      </c>
      <c r="E12" s="16">
        <f t="shared" si="1"/>
        <v>9.3569220777658842E-3</v>
      </c>
    </row>
    <row r="13" spans="1:5" x14ac:dyDescent="0.3">
      <c r="A13" s="4" t="s">
        <v>250</v>
      </c>
      <c r="B13" s="4" t="s">
        <v>251</v>
      </c>
      <c r="C13" s="5">
        <v>275</v>
      </c>
      <c r="D13" s="8">
        <f t="shared" si="0"/>
        <v>1.7006592373625558E-3</v>
      </c>
      <c r="E13" s="16">
        <f t="shared" si="1"/>
        <v>3.3073953359712316E-3</v>
      </c>
    </row>
    <row r="14" spans="1:5" x14ac:dyDescent="0.3">
      <c r="A14" s="4" t="s">
        <v>217</v>
      </c>
      <c r="B14" s="4"/>
      <c r="C14" s="5">
        <v>78555</v>
      </c>
      <c r="D14" s="8">
        <f t="shared" si="0"/>
        <v>0.4858010414218748</v>
      </c>
    </row>
    <row r="15" spans="1:5" x14ac:dyDescent="0.3">
      <c r="A15" s="9" t="s">
        <v>117</v>
      </c>
      <c r="B15" s="9"/>
      <c r="C15" s="10">
        <f>SUM(C5:C14)</f>
        <v>161702</v>
      </c>
      <c r="D15" s="11">
        <f>SUM(D5:D14)</f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0" customWidth="1"/>
    <col min="3" max="3" width="12" customWidth="1"/>
    <col min="4" max="4" width="42" customWidth="1"/>
    <col min="5" max="5" width="12" customWidth="1"/>
    <col min="6" max="6" width="14" customWidth="1"/>
  </cols>
  <sheetData>
    <row r="1" spans="1:6" ht="17.399999999999999" x14ac:dyDescent="0.3">
      <c r="A1" s="1" t="s">
        <v>28</v>
      </c>
    </row>
    <row r="2" spans="1:6" x14ac:dyDescent="0.3">
      <c r="A2" s="2" t="s">
        <v>252</v>
      </c>
    </row>
    <row r="4" spans="1:6" ht="26.4" x14ac:dyDescent="0.3">
      <c r="A4" s="3" t="s">
        <v>2</v>
      </c>
      <c r="B4" s="3" t="s">
        <v>96</v>
      </c>
      <c r="C4" s="3" t="s">
        <v>120</v>
      </c>
      <c r="D4" s="3" t="s">
        <v>253</v>
      </c>
      <c r="E4" s="3" t="s">
        <v>98</v>
      </c>
      <c r="F4" s="3" t="s">
        <v>99</v>
      </c>
    </row>
    <row r="5" spans="1:6" x14ac:dyDescent="0.3">
      <c r="A5" s="12" t="s">
        <v>254</v>
      </c>
      <c r="B5" s="12" t="s">
        <v>255</v>
      </c>
      <c r="C5" s="12" t="s">
        <v>123</v>
      </c>
      <c r="D5" s="12" t="s">
        <v>123</v>
      </c>
      <c r="E5" s="13">
        <v>59021</v>
      </c>
      <c r="F5" s="14">
        <f t="shared" ref="F5:F13" si="0">E5/E$14</f>
        <v>0.36499857763045601</v>
      </c>
    </row>
    <row r="6" spans="1:6" ht="26.4" x14ac:dyDescent="0.3">
      <c r="A6" s="4" t="s">
        <v>256</v>
      </c>
      <c r="B6" s="4" t="s">
        <v>257</v>
      </c>
      <c r="C6" s="4" t="s">
        <v>126</v>
      </c>
      <c r="D6" s="4" t="s">
        <v>258</v>
      </c>
      <c r="E6" s="5">
        <v>33319</v>
      </c>
      <c r="F6" s="8">
        <f t="shared" si="0"/>
        <v>0.20605187319884727</v>
      </c>
    </row>
    <row r="7" spans="1:6" ht="26.4" x14ac:dyDescent="0.3">
      <c r="A7" s="4" t="s">
        <v>259</v>
      </c>
      <c r="B7" s="4" t="s">
        <v>260</v>
      </c>
      <c r="C7" s="4" t="s">
        <v>126</v>
      </c>
      <c r="D7" s="4" t="s">
        <v>261</v>
      </c>
      <c r="E7" s="5">
        <v>31841</v>
      </c>
      <c r="F7" s="8">
        <f t="shared" si="0"/>
        <v>0.1969116028249496</v>
      </c>
    </row>
    <row r="8" spans="1:6" x14ac:dyDescent="0.3">
      <c r="A8" s="12" t="s">
        <v>262</v>
      </c>
      <c r="B8" s="12" t="s">
        <v>263</v>
      </c>
      <c r="C8" s="12" t="s">
        <v>123</v>
      </c>
      <c r="D8" s="12" t="s">
        <v>264</v>
      </c>
      <c r="E8" s="13">
        <v>30796</v>
      </c>
      <c r="F8" s="14">
        <f t="shared" si="0"/>
        <v>0.19044909772297189</v>
      </c>
    </row>
    <row r="9" spans="1:6" x14ac:dyDescent="0.3">
      <c r="A9" s="4" t="s">
        <v>265</v>
      </c>
      <c r="B9" s="4" t="s">
        <v>266</v>
      </c>
      <c r="C9" s="4" t="s">
        <v>126</v>
      </c>
      <c r="D9" s="4" t="s">
        <v>126</v>
      </c>
      <c r="E9" s="5">
        <v>6511</v>
      </c>
      <c r="F9" s="8">
        <f t="shared" si="0"/>
        <v>4.0265426525336732E-2</v>
      </c>
    </row>
    <row r="10" spans="1:6" ht="26.4" x14ac:dyDescent="0.3">
      <c r="A10" s="4" t="s">
        <v>267</v>
      </c>
      <c r="B10" s="4" t="s">
        <v>268</v>
      </c>
      <c r="C10" s="4" t="s">
        <v>126</v>
      </c>
      <c r="D10" s="4" t="s">
        <v>258</v>
      </c>
      <c r="E10" s="5">
        <v>156</v>
      </c>
      <c r="F10" s="8">
        <f t="shared" si="0"/>
        <v>9.6473760374021344E-4</v>
      </c>
    </row>
    <row r="11" spans="1:6" x14ac:dyDescent="0.3">
      <c r="A11" s="4" t="s">
        <v>269</v>
      </c>
      <c r="B11" s="4" t="s">
        <v>270</v>
      </c>
      <c r="C11" s="4" t="s">
        <v>126</v>
      </c>
      <c r="D11" s="4" t="s">
        <v>271</v>
      </c>
      <c r="E11" s="5">
        <v>33</v>
      </c>
      <c r="F11" s="8">
        <f t="shared" si="0"/>
        <v>2.0407910848350671E-4</v>
      </c>
    </row>
    <row r="12" spans="1:6" x14ac:dyDescent="0.3">
      <c r="A12" s="4" t="s">
        <v>272</v>
      </c>
      <c r="B12" s="4" t="s">
        <v>273</v>
      </c>
      <c r="C12" s="4" t="s">
        <v>126</v>
      </c>
      <c r="D12" s="4" t="s">
        <v>123</v>
      </c>
      <c r="E12" s="5">
        <v>19</v>
      </c>
      <c r="F12" s="8">
        <f t="shared" si="0"/>
        <v>1.1750009276323113E-4</v>
      </c>
    </row>
    <row r="13" spans="1:6" x14ac:dyDescent="0.3">
      <c r="A13" s="4" t="s">
        <v>274</v>
      </c>
      <c r="B13" s="4" t="s">
        <v>275</v>
      </c>
      <c r="C13" s="4" t="s">
        <v>126</v>
      </c>
      <c r="D13" s="4" t="s">
        <v>126</v>
      </c>
      <c r="E13" s="5">
        <v>6</v>
      </c>
      <c r="F13" s="8">
        <f t="shared" si="0"/>
        <v>3.7105292451546674E-5</v>
      </c>
    </row>
    <row r="14" spans="1:6" x14ac:dyDescent="0.3">
      <c r="A14" s="9" t="s">
        <v>117</v>
      </c>
      <c r="B14" s="9"/>
      <c r="C14" s="9"/>
      <c r="D14" s="9"/>
      <c r="E14" s="10">
        <f>SUM(E5:E13)</f>
        <v>161702</v>
      </c>
      <c r="F14" s="11">
        <f>SUM(F5:F13)</f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3" width="14" customWidth="1"/>
  </cols>
  <sheetData>
    <row r="1" spans="1:3" ht="17.399999999999999" x14ac:dyDescent="0.3">
      <c r="A1" s="1" t="s">
        <v>276</v>
      </c>
    </row>
    <row r="2" spans="1:3" x14ac:dyDescent="0.3">
      <c r="A2" s="2" t="s">
        <v>277</v>
      </c>
    </row>
    <row r="4" spans="1:3" ht="26.4" x14ac:dyDescent="0.3">
      <c r="A4" s="3" t="s">
        <v>278</v>
      </c>
      <c r="B4" s="3" t="s">
        <v>279</v>
      </c>
      <c r="C4" s="3" t="s">
        <v>99</v>
      </c>
    </row>
    <row r="5" spans="1:3" x14ac:dyDescent="0.3">
      <c r="A5" s="4" t="s">
        <v>100</v>
      </c>
      <c r="B5" s="5">
        <v>83147</v>
      </c>
      <c r="C5" s="8">
        <f>B5/Overview!$B$8</f>
        <v>0.51419895857812514</v>
      </c>
    </row>
    <row r="6" spans="1:3" x14ac:dyDescent="0.3">
      <c r="A6" s="4" t="s">
        <v>121</v>
      </c>
      <c r="B6" s="5">
        <v>33601</v>
      </c>
      <c r="C6" s="8">
        <f>B6/Overview!$B$8</f>
        <v>0.20779582194406995</v>
      </c>
    </row>
    <row r="7" spans="1:3" x14ac:dyDescent="0.3">
      <c r="A7" s="4" t="s">
        <v>234</v>
      </c>
      <c r="B7" s="5">
        <v>32560</v>
      </c>
      <c r="C7" s="8">
        <f>B7/Overview!$B$8</f>
        <v>0.20135805370372661</v>
      </c>
    </row>
    <row r="8" spans="1:3" x14ac:dyDescent="0.3">
      <c r="A8" s="4" t="s">
        <v>103</v>
      </c>
      <c r="B8" s="5">
        <v>32442</v>
      </c>
      <c r="C8" s="8">
        <f>B8/Overview!$B$8</f>
        <v>0.20062831628551286</v>
      </c>
    </row>
    <row r="9" spans="1:3" x14ac:dyDescent="0.3">
      <c r="A9" s="4" t="s">
        <v>106</v>
      </c>
      <c r="B9" s="5">
        <v>29308</v>
      </c>
      <c r="C9" s="8">
        <f>B9/Overview!$B$8</f>
        <v>0.1812469851949883</v>
      </c>
    </row>
    <row r="10" spans="1:3" x14ac:dyDescent="0.3">
      <c r="A10" s="4" t="s">
        <v>208</v>
      </c>
      <c r="B10" s="5">
        <v>26646</v>
      </c>
      <c r="C10" s="8">
        <f>B10/Overview!$B$8</f>
        <v>0.16478460377731877</v>
      </c>
    </row>
    <row r="11" spans="1:3" x14ac:dyDescent="0.3">
      <c r="A11" s="4" t="s">
        <v>236</v>
      </c>
      <c r="B11" s="5">
        <v>23597</v>
      </c>
      <c r="C11" s="8">
        <f>B11/Overview!$B$8</f>
        <v>0.14592893099652446</v>
      </c>
    </row>
    <row r="12" spans="1:3" x14ac:dyDescent="0.3">
      <c r="A12" s="4" t="s">
        <v>124</v>
      </c>
      <c r="B12" s="5">
        <v>23287</v>
      </c>
      <c r="C12" s="8">
        <f>B12/Overview!$B$8</f>
        <v>0.14401182421986122</v>
      </c>
    </row>
    <row r="13" spans="1:3" x14ac:dyDescent="0.3">
      <c r="A13" s="4" t="s">
        <v>209</v>
      </c>
      <c r="B13" s="5">
        <v>20144</v>
      </c>
      <c r="C13" s="8">
        <f>B13/Overview!$B$8</f>
        <v>0.12457483519065936</v>
      </c>
    </row>
    <row r="14" spans="1:3" x14ac:dyDescent="0.3">
      <c r="A14" s="4" t="s">
        <v>127</v>
      </c>
      <c r="B14" s="5">
        <v>18615</v>
      </c>
      <c r="C14" s="8">
        <f>B14/Overview!$B$8</f>
        <v>0.11511916983092355</v>
      </c>
    </row>
    <row r="15" spans="1:3" x14ac:dyDescent="0.3">
      <c r="A15" s="4" t="s">
        <v>210</v>
      </c>
      <c r="B15" s="5">
        <v>18562</v>
      </c>
      <c r="C15" s="8">
        <f>B15/Overview!$B$8</f>
        <v>0.11479140641426822</v>
      </c>
    </row>
    <row r="16" spans="1:3" x14ac:dyDescent="0.3">
      <c r="A16" s="4" t="s">
        <v>129</v>
      </c>
      <c r="B16" s="5">
        <v>16264</v>
      </c>
      <c r="C16" s="8">
        <f>B16/Overview!$B$8</f>
        <v>0.10058007940532585</v>
      </c>
    </row>
    <row r="17" spans="1:3" x14ac:dyDescent="0.3">
      <c r="A17" s="4" t="s">
        <v>131</v>
      </c>
      <c r="B17" s="5">
        <v>15432</v>
      </c>
      <c r="C17" s="8">
        <f>B17/Overview!$B$8</f>
        <v>9.543481218537804E-2</v>
      </c>
    </row>
    <row r="18" spans="1:3" x14ac:dyDescent="0.3">
      <c r="A18" s="4" t="s">
        <v>238</v>
      </c>
      <c r="B18" s="5">
        <v>13607</v>
      </c>
      <c r="C18" s="8">
        <f>B18/Overview!$B$8</f>
        <v>8.4148619064699268E-2</v>
      </c>
    </row>
    <row r="19" spans="1:3" x14ac:dyDescent="0.3">
      <c r="A19" s="4" t="s">
        <v>133</v>
      </c>
      <c r="B19" s="5">
        <v>10998</v>
      </c>
      <c r="C19" s="8">
        <f>B19/Overview!$B$8</f>
        <v>6.8014001063685048E-2</v>
      </c>
    </row>
    <row r="20" spans="1:3" x14ac:dyDescent="0.3">
      <c r="A20" s="4" t="s">
        <v>135</v>
      </c>
      <c r="B20" s="5">
        <v>7920</v>
      </c>
      <c r="C20" s="8">
        <f>B20/Overview!$B$8</f>
        <v>4.8978986036041609E-2</v>
      </c>
    </row>
    <row r="21" spans="1:3" x14ac:dyDescent="0.3">
      <c r="A21" s="4" t="s">
        <v>137</v>
      </c>
      <c r="B21" s="5">
        <v>6941</v>
      </c>
      <c r="C21" s="8">
        <f>B21/Overview!$B$8</f>
        <v>4.2924639151030911E-2</v>
      </c>
    </row>
    <row r="22" spans="1:3" x14ac:dyDescent="0.3">
      <c r="A22" s="4" t="s">
        <v>240</v>
      </c>
      <c r="B22" s="5">
        <v>5609</v>
      </c>
      <c r="C22" s="8">
        <f>B22/Overview!$B$8</f>
        <v>3.4687264226787549E-2</v>
      </c>
    </row>
    <row r="23" spans="1:3" x14ac:dyDescent="0.3">
      <c r="A23" s="4" t="s">
        <v>211</v>
      </c>
      <c r="B23" s="5">
        <v>5591</v>
      </c>
      <c r="C23" s="8">
        <f>B23/Overview!$B$8</f>
        <v>3.4575948349432908E-2</v>
      </c>
    </row>
    <row r="24" spans="1:3" x14ac:dyDescent="0.3">
      <c r="A24" s="4" t="s">
        <v>109</v>
      </c>
      <c r="B24" s="5">
        <v>5284</v>
      </c>
      <c r="C24" s="8">
        <f>B24/Overview!$B$8</f>
        <v>3.2677394218995438E-2</v>
      </c>
    </row>
    <row r="25" spans="1:3" x14ac:dyDescent="0.3">
      <c r="A25" s="4" t="s">
        <v>242</v>
      </c>
      <c r="B25" s="5">
        <v>4821</v>
      </c>
      <c r="C25" s="8">
        <f>B25/Overview!$B$8</f>
        <v>2.981410248481775E-2</v>
      </c>
    </row>
    <row r="26" spans="1:3" x14ac:dyDescent="0.3">
      <c r="A26" s="4" t="s">
        <v>111</v>
      </c>
      <c r="B26" s="5">
        <v>4543</v>
      </c>
      <c r="C26" s="8">
        <f>B26/Overview!$B$8</f>
        <v>2.8094890601229421E-2</v>
      </c>
    </row>
    <row r="27" spans="1:3" x14ac:dyDescent="0.3">
      <c r="A27" s="4" t="s">
        <v>113</v>
      </c>
      <c r="B27" s="5">
        <v>4498</v>
      </c>
      <c r="C27" s="8">
        <f>B27/Overview!$B$8</f>
        <v>2.7816600907842822E-2</v>
      </c>
    </row>
    <row r="28" spans="1:3" x14ac:dyDescent="0.3">
      <c r="A28" s="4" t="s">
        <v>212</v>
      </c>
      <c r="B28" s="5">
        <v>3928</v>
      </c>
      <c r="C28" s="8">
        <f>B28/Overview!$B$8</f>
        <v>2.4291598124945888E-2</v>
      </c>
    </row>
    <row r="29" spans="1:3" x14ac:dyDescent="0.3">
      <c r="A29" s="4" t="s">
        <v>213</v>
      </c>
      <c r="B29" s="5">
        <v>3769</v>
      </c>
      <c r="C29" s="8">
        <f>B29/Overview!$B$8</f>
        <v>2.3308307874979901E-2</v>
      </c>
    </row>
    <row r="30" spans="1:3" x14ac:dyDescent="0.3">
      <c r="A30" s="4" t="s">
        <v>280</v>
      </c>
      <c r="B30" s="5">
        <v>3166</v>
      </c>
      <c r="C30" s="8">
        <f>B30/Overview!$B$8</f>
        <v>1.9579225983599461E-2</v>
      </c>
    </row>
    <row r="31" spans="1:3" x14ac:dyDescent="0.3">
      <c r="A31" s="4" t="s">
        <v>214</v>
      </c>
      <c r="B31" s="5">
        <v>2904</v>
      </c>
      <c r="C31" s="8">
        <f>B31/Overview!$B$8</f>
        <v>1.795896154654859E-2</v>
      </c>
    </row>
    <row r="32" spans="1:3" x14ac:dyDescent="0.3">
      <c r="A32" s="4" t="s">
        <v>140</v>
      </c>
      <c r="B32" s="5">
        <v>2773</v>
      </c>
      <c r="C32" s="8">
        <f>B32/Overview!$B$8</f>
        <v>1.7148829328023155E-2</v>
      </c>
    </row>
    <row r="33" spans="1:3" x14ac:dyDescent="0.3">
      <c r="A33" s="4" t="s">
        <v>142</v>
      </c>
      <c r="B33" s="5">
        <v>2586</v>
      </c>
      <c r="C33" s="8">
        <f>B33/Overview!$B$8</f>
        <v>1.5992381046616617E-2</v>
      </c>
    </row>
    <row r="34" spans="1:3" x14ac:dyDescent="0.3">
      <c r="A34" s="4" t="s">
        <v>115</v>
      </c>
      <c r="B34" s="5">
        <v>2480</v>
      </c>
      <c r="C34" s="8">
        <f>B34/Overview!$B$8</f>
        <v>1.5336854213305958E-2</v>
      </c>
    </row>
    <row r="35" spans="1:3" x14ac:dyDescent="0.3">
      <c r="A35" s="4" t="s">
        <v>144</v>
      </c>
      <c r="B35" s="5">
        <v>2283</v>
      </c>
      <c r="C35" s="8">
        <f>B35/Overview!$B$8</f>
        <v>1.4118563777813509E-2</v>
      </c>
    </row>
    <row r="36" spans="1:3" x14ac:dyDescent="0.3">
      <c r="A36" s="4" t="s">
        <v>146</v>
      </c>
      <c r="B36" s="5">
        <v>1840</v>
      </c>
      <c r="C36" s="8">
        <f>B36/Overview!$B$8</f>
        <v>1.1378956351807646E-2</v>
      </c>
    </row>
    <row r="37" spans="1:3" x14ac:dyDescent="0.3">
      <c r="A37" s="4" t="s">
        <v>148</v>
      </c>
      <c r="B37" s="5">
        <v>1572</v>
      </c>
      <c r="C37" s="8">
        <f>B37/Overview!$B$8</f>
        <v>9.721586622305229E-3</v>
      </c>
    </row>
    <row r="38" spans="1:3" x14ac:dyDescent="0.3">
      <c r="A38" s="4" t="s">
        <v>150</v>
      </c>
      <c r="B38" s="5">
        <v>1464</v>
      </c>
      <c r="C38" s="8">
        <f>B38/Overview!$B$8</f>
        <v>9.0536913581773879E-3</v>
      </c>
    </row>
    <row r="39" spans="1:3" x14ac:dyDescent="0.3">
      <c r="A39" s="4" t="s">
        <v>220</v>
      </c>
      <c r="B39" s="5">
        <v>1316</v>
      </c>
      <c r="C39" s="8">
        <f>B39/Overview!$B$8</f>
        <v>8.1384274777059028E-3</v>
      </c>
    </row>
    <row r="40" spans="1:3" x14ac:dyDescent="0.3">
      <c r="A40" s="4" t="s">
        <v>221</v>
      </c>
      <c r="B40" s="5">
        <v>1245</v>
      </c>
      <c r="C40" s="8">
        <f>B40/Overview!$B$8</f>
        <v>7.6993481836959343E-3</v>
      </c>
    </row>
    <row r="41" spans="1:3" x14ac:dyDescent="0.3">
      <c r="A41" s="4" t="s">
        <v>152</v>
      </c>
      <c r="B41" s="5">
        <v>1240</v>
      </c>
      <c r="C41" s="8">
        <f>B41/Overview!$B$8</f>
        <v>7.6684271066529792E-3</v>
      </c>
    </row>
    <row r="42" spans="1:3" x14ac:dyDescent="0.3">
      <c r="A42" s="4" t="s">
        <v>154</v>
      </c>
      <c r="B42" s="5">
        <v>1231</v>
      </c>
      <c r="C42" s="8">
        <f>B42/Overview!$B$8</f>
        <v>7.6127691679756587E-3</v>
      </c>
    </row>
    <row r="43" spans="1:3" x14ac:dyDescent="0.3">
      <c r="A43" s="4" t="s">
        <v>244</v>
      </c>
      <c r="B43" s="5">
        <v>1085</v>
      </c>
      <c r="C43" s="8">
        <f>B43/Overview!$B$8</f>
        <v>6.7098737183213563E-3</v>
      </c>
    </row>
    <row r="44" spans="1:3" x14ac:dyDescent="0.3">
      <c r="A44" s="4" t="s">
        <v>215</v>
      </c>
      <c r="B44" s="5">
        <v>1056</v>
      </c>
      <c r="C44" s="8">
        <f>B44/Overview!$B$8</f>
        <v>6.5305314714722146E-3</v>
      </c>
    </row>
    <row r="45" spans="1:3" x14ac:dyDescent="0.3">
      <c r="A45" s="4" t="s">
        <v>222</v>
      </c>
      <c r="B45" s="5">
        <v>1022</v>
      </c>
      <c r="C45" s="8">
        <f>B45/Overview!$B$8</f>
        <v>6.3202681475801169E-3</v>
      </c>
    </row>
    <row r="46" spans="1:3" x14ac:dyDescent="0.3">
      <c r="A46" s="4" t="s">
        <v>156</v>
      </c>
      <c r="B46" s="5">
        <v>1014</v>
      </c>
      <c r="C46" s="8">
        <f>B46/Overview!$B$8</f>
        <v>6.2707944243113878E-3</v>
      </c>
    </row>
    <row r="47" spans="1:3" x14ac:dyDescent="0.3">
      <c r="A47" s="4" t="s">
        <v>223</v>
      </c>
      <c r="B47" s="5">
        <v>935</v>
      </c>
      <c r="C47" s="8">
        <f>B47/Overview!$B$8</f>
        <v>5.7822414070326901E-3</v>
      </c>
    </row>
    <row r="48" spans="1:3" x14ac:dyDescent="0.3">
      <c r="A48" s="4" t="s">
        <v>158</v>
      </c>
      <c r="B48" s="5">
        <v>876</v>
      </c>
      <c r="C48" s="8">
        <f>B48/Overview!$B$8</f>
        <v>5.4173726979258145E-3</v>
      </c>
    </row>
    <row r="49" spans="1:3" x14ac:dyDescent="0.3">
      <c r="A49" s="4" t="s">
        <v>224</v>
      </c>
      <c r="B49" s="5">
        <v>870</v>
      </c>
      <c r="C49" s="8">
        <f>B49/Overview!$B$8</f>
        <v>5.3802674054742672E-3</v>
      </c>
    </row>
    <row r="50" spans="1:3" x14ac:dyDescent="0.3">
      <c r="A50" s="4" t="s">
        <v>246</v>
      </c>
      <c r="B50" s="5">
        <v>815</v>
      </c>
      <c r="C50" s="8">
        <f>B50/Overview!$B$8</f>
        <v>5.0401355580017562E-3</v>
      </c>
    </row>
    <row r="51" spans="1:3" x14ac:dyDescent="0.3">
      <c r="A51" s="4" t="s">
        <v>248</v>
      </c>
      <c r="B51" s="5">
        <v>778</v>
      </c>
      <c r="C51" s="8">
        <f>B51/Overview!$B$8</f>
        <v>4.8113195878838853E-3</v>
      </c>
    </row>
    <row r="52" spans="1:3" x14ac:dyDescent="0.3">
      <c r="A52" s="4" t="s">
        <v>160</v>
      </c>
      <c r="B52" s="5">
        <v>769</v>
      </c>
      <c r="C52" s="8">
        <f>B52/Overview!$B$8</f>
        <v>4.7556616492065648E-3</v>
      </c>
    </row>
    <row r="53" spans="1:3" x14ac:dyDescent="0.3">
      <c r="A53" s="4" t="s">
        <v>225</v>
      </c>
      <c r="B53" s="5">
        <v>720</v>
      </c>
      <c r="C53" s="8">
        <f>B53/Overview!$B$8</f>
        <v>4.4526350941856011E-3</v>
      </c>
    </row>
    <row r="54" spans="1:3" x14ac:dyDescent="0.3">
      <c r="A54" s="4" t="s">
        <v>226</v>
      </c>
      <c r="B54" s="5">
        <v>712</v>
      </c>
      <c r="C54" s="8">
        <f>B54/Overview!$B$8</f>
        <v>4.4031613709168719E-3</v>
      </c>
    </row>
    <row r="55" spans="1:3" x14ac:dyDescent="0.3">
      <c r="A55" s="4" t="s">
        <v>162</v>
      </c>
      <c r="B55" s="5">
        <v>695</v>
      </c>
      <c r="C55" s="8">
        <f>B55/Overview!$B$8</f>
        <v>4.2980297089708231E-3</v>
      </c>
    </row>
    <row r="56" spans="1:3" x14ac:dyDescent="0.3">
      <c r="A56" s="4" t="s">
        <v>164</v>
      </c>
      <c r="B56" s="5">
        <v>652</v>
      </c>
      <c r="C56" s="8">
        <f>B56/Overview!$B$8</f>
        <v>4.0321084464014049E-3</v>
      </c>
    </row>
    <row r="57" spans="1:3" x14ac:dyDescent="0.3">
      <c r="A57" s="4" t="s">
        <v>166</v>
      </c>
      <c r="B57" s="5">
        <v>650</v>
      </c>
      <c r="C57" s="8">
        <f>B57/Overview!$B$8</f>
        <v>4.0197400155842231E-3</v>
      </c>
    </row>
    <row r="58" spans="1:3" x14ac:dyDescent="0.3">
      <c r="A58" s="4" t="s">
        <v>216</v>
      </c>
      <c r="B58" s="5">
        <v>547</v>
      </c>
      <c r="C58" s="8">
        <f>B58/Overview!$B$8</f>
        <v>3.3827658284993384E-3</v>
      </c>
    </row>
    <row r="59" spans="1:3" x14ac:dyDescent="0.3">
      <c r="A59" s="4" t="s">
        <v>168</v>
      </c>
      <c r="B59" s="5">
        <v>497</v>
      </c>
      <c r="C59" s="8">
        <f>B59/Overview!$B$8</f>
        <v>3.0735550580697829E-3</v>
      </c>
    </row>
    <row r="60" spans="1:3" x14ac:dyDescent="0.3">
      <c r="A60" s="4" t="s">
        <v>170</v>
      </c>
      <c r="B60" s="5">
        <v>471</v>
      </c>
      <c r="C60" s="8">
        <f>B60/Overview!$B$8</f>
        <v>2.912765457446414E-3</v>
      </c>
    </row>
    <row r="61" spans="1:3" x14ac:dyDescent="0.3">
      <c r="A61" s="4" t="s">
        <v>227</v>
      </c>
      <c r="B61" s="5">
        <v>465</v>
      </c>
      <c r="C61" s="8">
        <f>B61/Overview!$B$8</f>
        <v>2.8756601649948671E-3</v>
      </c>
    </row>
    <row r="62" spans="1:3" x14ac:dyDescent="0.3">
      <c r="A62" s="4" t="s">
        <v>228</v>
      </c>
      <c r="B62" s="5">
        <v>418</v>
      </c>
      <c r="C62" s="8">
        <f>B62/Overview!$B$8</f>
        <v>2.5850020407910848E-3</v>
      </c>
    </row>
    <row r="63" spans="1:3" x14ac:dyDescent="0.3">
      <c r="A63" s="4" t="s">
        <v>172</v>
      </c>
      <c r="B63" s="5">
        <v>388</v>
      </c>
      <c r="C63" s="8">
        <f>B63/Overview!$B$8</f>
        <v>2.3994755785333513E-3</v>
      </c>
    </row>
    <row r="64" spans="1:3" x14ac:dyDescent="0.3">
      <c r="A64" s="4" t="s">
        <v>174</v>
      </c>
      <c r="B64" s="5">
        <v>338</v>
      </c>
      <c r="C64" s="8">
        <f>B64/Overview!$B$8</f>
        <v>2.0902648081037958E-3</v>
      </c>
    </row>
    <row r="65" spans="1:3" x14ac:dyDescent="0.3">
      <c r="A65" s="4" t="s">
        <v>176</v>
      </c>
      <c r="B65" s="5">
        <v>329</v>
      </c>
      <c r="C65" s="8">
        <f>B65/Overview!$B$8</f>
        <v>2.0346068694264757E-3</v>
      </c>
    </row>
    <row r="66" spans="1:3" x14ac:dyDescent="0.3">
      <c r="A66" s="4" t="s">
        <v>229</v>
      </c>
      <c r="B66" s="5">
        <v>328</v>
      </c>
      <c r="C66" s="8">
        <f>B66/Overview!$B$8</f>
        <v>2.0284226540178848E-3</v>
      </c>
    </row>
    <row r="67" spans="1:3" x14ac:dyDescent="0.3">
      <c r="A67" s="4" t="s">
        <v>178</v>
      </c>
      <c r="B67" s="5">
        <v>300</v>
      </c>
      <c r="C67" s="8">
        <f>B67/Overview!$B$8</f>
        <v>1.8552646225773336E-3</v>
      </c>
    </row>
    <row r="68" spans="1:3" x14ac:dyDescent="0.3">
      <c r="A68" s="4" t="s">
        <v>180</v>
      </c>
      <c r="B68" s="5">
        <v>267</v>
      </c>
      <c r="C68" s="8">
        <f>B68/Overview!$B$8</f>
        <v>1.6511855140938269E-3</v>
      </c>
    </row>
    <row r="69" spans="1:3" x14ac:dyDescent="0.3">
      <c r="A69" s="4" t="s">
        <v>230</v>
      </c>
      <c r="B69" s="5">
        <v>263</v>
      </c>
      <c r="C69" s="8">
        <f>B69/Overview!$B$8</f>
        <v>1.6264486524594625E-3</v>
      </c>
    </row>
    <row r="70" spans="1:3" x14ac:dyDescent="0.3">
      <c r="A70" s="4" t="s">
        <v>281</v>
      </c>
      <c r="B70" s="5">
        <v>230</v>
      </c>
      <c r="C70" s="8">
        <f>B70/Overview!$B$8</f>
        <v>1.4223695439759558E-3</v>
      </c>
    </row>
    <row r="71" spans="1:3" x14ac:dyDescent="0.3">
      <c r="A71" s="4" t="s">
        <v>231</v>
      </c>
      <c r="B71" s="5">
        <v>201</v>
      </c>
      <c r="C71" s="8">
        <f>B71/Overview!$B$8</f>
        <v>1.2430272971268135E-3</v>
      </c>
    </row>
    <row r="72" spans="1:3" x14ac:dyDescent="0.3">
      <c r="A72" s="4" t="s">
        <v>282</v>
      </c>
      <c r="B72" s="5">
        <v>190</v>
      </c>
      <c r="C72" s="8">
        <f>B72/Overview!$B$8</f>
        <v>1.1750009276323113E-3</v>
      </c>
    </row>
    <row r="73" spans="1:3" x14ac:dyDescent="0.3">
      <c r="A73" s="4" t="s">
        <v>182</v>
      </c>
      <c r="B73" s="5">
        <v>188</v>
      </c>
      <c r="C73" s="8">
        <f>B73/Overview!$B$8</f>
        <v>1.162632496815129E-3</v>
      </c>
    </row>
    <row r="74" spans="1:3" x14ac:dyDescent="0.3">
      <c r="A74" s="4" t="s">
        <v>184</v>
      </c>
      <c r="B74" s="5">
        <v>177</v>
      </c>
      <c r="C74" s="8">
        <f>B74/Overview!$B$8</f>
        <v>1.0946061273206268E-3</v>
      </c>
    </row>
    <row r="75" spans="1:3" x14ac:dyDescent="0.3">
      <c r="A75" s="4" t="s">
        <v>186</v>
      </c>
      <c r="B75" s="5">
        <v>156</v>
      </c>
      <c r="C75" s="8">
        <f>B75/Overview!$B$8</f>
        <v>9.6473760374021344E-4</v>
      </c>
    </row>
    <row r="76" spans="1:3" x14ac:dyDescent="0.3">
      <c r="A76" s="4" t="s">
        <v>188</v>
      </c>
      <c r="B76" s="5">
        <v>155</v>
      </c>
      <c r="C76" s="8">
        <f>B76/Overview!$B$8</f>
        <v>9.585533883316224E-4</v>
      </c>
    </row>
    <row r="77" spans="1:3" x14ac:dyDescent="0.3">
      <c r="A77" s="4" t="s">
        <v>190</v>
      </c>
      <c r="B77" s="5">
        <v>143</v>
      </c>
      <c r="C77" s="8">
        <f>B77/Overview!$B$8</f>
        <v>8.8434280342852899E-4</v>
      </c>
    </row>
    <row r="78" spans="1:3" x14ac:dyDescent="0.3">
      <c r="A78" s="4" t="s">
        <v>192</v>
      </c>
      <c r="B78" s="5">
        <v>76</v>
      </c>
      <c r="C78" s="8">
        <f>B78/Overview!$B$8</f>
        <v>4.7000037105292454E-4</v>
      </c>
    </row>
    <row r="79" spans="1:3" x14ac:dyDescent="0.3">
      <c r="A79" s="4" t="s">
        <v>194</v>
      </c>
      <c r="B79" s="5">
        <v>75</v>
      </c>
      <c r="C79" s="8">
        <f>B79/Overview!$B$8</f>
        <v>4.6381615564433339E-4</v>
      </c>
    </row>
    <row r="80" spans="1:3" x14ac:dyDescent="0.3">
      <c r="A80" s="4" t="s">
        <v>196</v>
      </c>
      <c r="B80" s="5">
        <v>68</v>
      </c>
      <c r="C80" s="8">
        <f>B80/Overview!$B$8</f>
        <v>4.2052664778419559E-4</v>
      </c>
    </row>
    <row r="81" spans="1:3" x14ac:dyDescent="0.3">
      <c r="A81" s="4" t="s">
        <v>198</v>
      </c>
      <c r="B81" s="5">
        <v>54</v>
      </c>
      <c r="C81" s="8">
        <f>B81/Overview!$B$8</f>
        <v>3.3394763206392005E-4</v>
      </c>
    </row>
    <row r="82" spans="1:3" x14ac:dyDescent="0.3">
      <c r="A82" s="4" t="s">
        <v>200</v>
      </c>
      <c r="B82" s="5">
        <v>33</v>
      </c>
      <c r="C82" s="8">
        <f>B82/Overview!$B$8</f>
        <v>2.0407910848350671E-4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3" width="14" customWidth="1"/>
  </cols>
  <sheetData>
    <row r="1" spans="1:3" ht="17.399999999999999" x14ac:dyDescent="0.3">
      <c r="A1" s="1" t="s">
        <v>283</v>
      </c>
    </row>
    <row r="2" spans="1:3" x14ac:dyDescent="0.3">
      <c r="A2" s="2" t="s">
        <v>284</v>
      </c>
    </row>
    <row r="4" spans="1:3" ht="26.4" x14ac:dyDescent="0.3">
      <c r="A4" s="3" t="s">
        <v>278</v>
      </c>
      <c r="B4" s="3" t="s">
        <v>279</v>
      </c>
      <c r="C4" s="3" t="s">
        <v>99</v>
      </c>
    </row>
    <row r="5" spans="1:3" x14ac:dyDescent="0.3">
      <c r="A5" s="4" t="s">
        <v>100</v>
      </c>
      <c r="B5" s="5">
        <v>61940</v>
      </c>
      <c r="C5" s="8">
        <f>B5/Overview!$B$8</f>
        <v>0.38305030240813348</v>
      </c>
    </row>
    <row r="6" spans="1:3" x14ac:dyDescent="0.3">
      <c r="A6" s="4" t="s">
        <v>121</v>
      </c>
      <c r="B6" s="5">
        <v>21843</v>
      </c>
      <c r="C6" s="8">
        <f>B6/Overview!$B$8</f>
        <v>0.13508181716985565</v>
      </c>
    </row>
    <row r="7" spans="1:3" x14ac:dyDescent="0.3">
      <c r="A7" s="4" t="s">
        <v>103</v>
      </c>
      <c r="B7" s="5">
        <v>20745</v>
      </c>
      <c r="C7" s="8">
        <f>B7/Overview!$B$8</f>
        <v>0.12829154865122261</v>
      </c>
    </row>
    <row r="8" spans="1:3" x14ac:dyDescent="0.3">
      <c r="A8" s="4" t="s">
        <v>124</v>
      </c>
      <c r="B8" s="5">
        <v>17035</v>
      </c>
      <c r="C8" s="8">
        <f>B8/Overview!$B$8</f>
        <v>0.10534810948534959</v>
      </c>
    </row>
    <row r="9" spans="1:3" x14ac:dyDescent="0.3">
      <c r="A9" s="4" t="s">
        <v>285</v>
      </c>
      <c r="B9" s="5">
        <v>15045</v>
      </c>
      <c r="C9" s="8">
        <f>B9/Overview!$B$8</f>
        <v>9.3041520822253282E-2</v>
      </c>
    </row>
    <row r="10" spans="1:3" x14ac:dyDescent="0.3">
      <c r="A10" s="4" t="s">
        <v>208</v>
      </c>
      <c r="B10" s="5">
        <v>11477</v>
      </c>
      <c r="C10" s="8">
        <f>B10/Overview!$B$8</f>
        <v>7.0976240244400191E-2</v>
      </c>
    </row>
    <row r="11" spans="1:3" x14ac:dyDescent="0.3">
      <c r="A11" s="4" t="s">
        <v>286</v>
      </c>
      <c r="B11" s="5">
        <v>8543</v>
      </c>
      <c r="C11" s="8">
        <f>B11/Overview!$B$8</f>
        <v>5.2831752235593873E-2</v>
      </c>
    </row>
    <row r="12" spans="1:3" x14ac:dyDescent="0.3">
      <c r="A12" s="4" t="s">
        <v>209</v>
      </c>
      <c r="B12" s="5">
        <v>7905</v>
      </c>
      <c r="C12" s="8">
        <f>B12/Overview!$B$8</f>
        <v>4.8886222804912741E-2</v>
      </c>
    </row>
    <row r="13" spans="1:3" x14ac:dyDescent="0.3">
      <c r="A13" s="4" t="s">
        <v>210</v>
      </c>
      <c r="B13" s="5">
        <v>7654</v>
      </c>
      <c r="C13" s="8">
        <f>B13/Overview!$B$8</f>
        <v>4.7333984737356373E-2</v>
      </c>
    </row>
    <row r="14" spans="1:3" x14ac:dyDescent="0.3">
      <c r="A14" s="4" t="s">
        <v>129</v>
      </c>
      <c r="B14" s="5">
        <v>7283</v>
      </c>
      <c r="C14" s="8">
        <f>B14/Overview!$B$8</f>
        <v>4.503964082076907E-2</v>
      </c>
    </row>
    <row r="15" spans="1:3" x14ac:dyDescent="0.3">
      <c r="A15" s="4" t="s">
        <v>287</v>
      </c>
      <c r="B15" s="5">
        <v>6866</v>
      </c>
      <c r="C15" s="8">
        <f>B15/Overview!$B$8</f>
        <v>4.2460822995386574E-2</v>
      </c>
    </row>
    <row r="16" spans="1:3" x14ac:dyDescent="0.3">
      <c r="A16" s="4" t="s">
        <v>131</v>
      </c>
      <c r="B16" s="5">
        <v>6366</v>
      </c>
      <c r="C16" s="8">
        <f>B16/Overview!$B$8</f>
        <v>3.9368715291091018E-2</v>
      </c>
    </row>
    <row r="17" spans="1:3" x14ac:dyDescent="0.3">
      <c r="A17" s="4" t="s">
        <v>236</v>
      </c>
      <c r="B17" s="5">
        <v>5832</v>
      </c>
      <c r="C17" s="8">
        <f>B17/Overview!$B$8</f>
        <v>3.6066344262903366E-2</v>
      </c>
    </row>
    <row r="18" spans="1:3" x14ac:dyDescent="0.3">
      <c r="A18" s="4" t="s">
        <v>288</v>
      </c>
      <c r="B18" s="5">
        <v>5581</v>
      </c>
      <c r="C18" s="8">
        <f>B18/Overview!$B$8</f>
        <v>3.4514106195346998E-2</v>
      </c>
    </row>
    <row r="19" spans="1:3" x14ac:dyDescent="0.3">
      <c r="A19" s="4" t="s">
        <v>133</v>
      </c>
      <c r="B19" s="5">
        <v>4363</v>
      </c>
      <c r="C19" s="8">
        <f>B19/Overview!$B$8</f>
        <v>2.6981731827683021E-2</v>
      </c>
    </row>
    <row r="20" spans="1:3" x14ac:dyDescent="0.3">
      <c r="A20" s="4" t="s">
        <v>106</v>
      </c>
      <c r="B20" s="5">
        <v>3853</v>
      </c>
      <c r="C20" s="8">
        <f>B20/Overview!$B$8</f>
        <v>2.3827781969301555E-2</v>
      </c>
    </row>
    <row r="21" spans="1:3" x14ac:dyDescent="0.3">
      <c r="A21" s="4" t="s">
        <v>289</v>
      </c>
      <c r="B21" s="5">
        <v>3741</v>
      </c>
      <c r="C21" s="8">
        <f>B21/Overview!$B$8</f>
        <v>2.313514984353935E-2</v>
      </c>
    </row>
    <row r="22" spans="1:3" x14ac:dyDescent="0.3">
      <c r="A22" s="4" t="s">
        <v>290</v>
      </c>
      <c r="B22" s="5">
        <v>3335</v>
      </c>
      <c r="C22" s="8">
        <f>B22/Overview!$B$8</f>
        <v>2.0624358387651358E-2</v>
      </c>
    </row>
    <row r="23" spans="1:3" x14ac:dyDescent="0.3">
      <c r="A23" s="4" t="s">
        <v>291</v>
      </c>
      <c r="B23" s="5">
        <v>3212</v>
      </c>
      <c r="C23" s="8">
        <f>B23/Overview!$B$8</f>
        <v>1.9863699892394653E-2</v>
      </c>
    </row>
    <row r="24" spans="1:3" x14ac:dyDescent="0.3">
      <c r="A24" s="4" t="s">
        <v>137</v>
      </c>
      <c r="B24" s="5">
        <v>3196</v>
      </c>
      <c r="C24" s="8">
        <f>B24/Overview!$B$8</f>
        <v>1.9764752445857195E-2</v>
      </c>
    </row>
    <row r="25" spans="1:3" x14ac:dyDescent="0.3">
      <c r="A25" s="4" t="s">
        <v>234</v>
      </c>
      <c r="B25" s="5">
        <v>2557</v>
      </c>
      <c r="C25" s="8">
        <f>B25/Overview!$B$8</f>
        <v>1.5813038799767472E-2</v>
      </c>
    </row>
    <row r="26" spans="1:3" x14ac:dyDescent="0.3">
      <c r="A26" s="4" t="s">
        <v>113</v>
      </c>
      <c r="B26" s="5">
        <v>2182</v>
      </c>
      <c r="C26" s="8">
        <f>B26/Overview!$B$8</f>
        <v>1.3493958021545807E-2</v>
      </c>
    </row>
    <row r="27" spans="1:3" x14ac:dyDescent="0.3">
      <c r="A27" s="4" t="s">
        <v>292</v>
      </c>
      <c r="B27" s="5">
        <v>1833</v>
      </c>
      <c r="C27" s="8">
        <f>B27/Overview!$B$8</f>
        <v>1.1335666843947509E-2</v>
      </c>
    </row>
    <row r="28" spans="1:3" x14ac:dyDescent="0.3">
      <c r="A28" s="4" t="s">
        <v>111</v>
      </c>
      <c r="B28" s="5">
        <v>1812</v>
      </c>
      <c r="C28" s="8">
        <f>B28/Overview!$B$8</f>
        <v>1.1205798320367095E-2</v>
      </c>
    </row>
    <row r="29" spans="1:3" x14ac:dyDescent="0.3">
      <c r="A29" s="4" t="s">
        <v>293</v>
      </c>
      <c r="B29" s="5">
        <v>1751</v>
      </c>
      <c r="C29" s="8">
        <f>B29/Overview!$B$8</f>
        <v>1.0828561180443038E-2</v>
      </c>
    </row>
    <row r="30" spans="1:3" x14ac:dyDescent="0.3">
      <c r="A30" s="4" t="s">
        <v>115</v>
      </c>
      <c r="B30" s="5">
        <v>1715</v>
      </c>
      <c r="C30" s="8">
        <f>B30/Overview!$B$8</f>
        <v>1.0605929425733757E-2</v>
      </c>
    </row>
    <row r="31" spans="1:3" x14ac:dyDescent="0.3">
      <c r="A31" s="4" t="s">
        <v>294</v>
      </c>
      <c r="B31" s="5">
        <v>1677</v>
      </c>
      <c r="C31" s="8">
        <f>B31/Overview!$B$8</f>
        <v>1.0370929240207294E-2</v>
      </c>
    </row>
    <row r="32" spans="1:3" x14ac:dyDescent="0.3">
      <c r="A32" s="4" t="s">
        <v>211</v>
      </c>
      <c r="B32" s="5">
        <v>1496</v>
      </c>
      <c r="C32" s="8">
        <f>B32/Overview!$B$8</f>
        <v>9.2515862512523028E-3</v>
      </c>
    </row>
    <row r="33" spans="1:3" x14ac:dyDescent="0.3">
      <c r="A33" s="4" t="s">
        <v>280</v>
      </c>
      <c r="B33" s="5">
        <v>1490</v>
      </c>
      <c r="C33" s="8">
        <f>B33/Overview!$B$8</f>
        <v>9.2144809588007564E-3</v>
      </c>
    </row>
    <row r="34" spans="1:3" x14ac:dyDescent="0.3">
      <c r="A34" s="4" t="s">
        <v>295</v>
      </c>
      <c r="B34" s="5">
        <v>1371</v>
      </c>
      <c r="C34" s="8">
        <f>B34/Overview!$B$8</f>
        <v>8.4785593251784138E-3</v>
      </c>
    </row>
    <row r="35" spans="1:3" x14ac:dyDescent="0.3">
      <c r="A35" s="4" t="s">
        <v>146</v>
      </c>
      <c r="B35" s="5">
        <v>1303</v>
      </c>
      <c r="C35" s="8">
        <f>B35/Overview!$B$8</f>
        <v>8.0580326773942185E-3</v>
      </c>
    </row>
    <row r="36" spans="1:3" x14ac:dyDescent="0.3">
      <c r="A36" s="4" t="s">
        <v>212</v>
      </c>
      <c r="B36" s="5">
        <v>1288</v>
      </c>
      <c r="C36" s="8">
        <f>B36/Overview!$B$8</f>
        <v>7.9652694462653516E-3</v>
      </c>
    </row>
    <row r="37" spans="1:3" x14ac:dyDescent="0.3">
      <c r="A37" s="4" t="s">
        <v>109</v>
      </c>
      <c r="B37" s="5">
        <v>1128</v>
      </c>
      <c r="C37" s="8">
        <f>B37/Overview!$B$8</f>
        <v>6.9757949808907744E-3</v>
      </c>
    </row>
    <row r="38" spans="1:3" x14ac:dyDescent="0.3">
      <c r="A38" s="4" t="s">
        <v>296</v>
      </c>
      <c r="B38" s="5">
        <v>1103</v>
      </c>
      <c r="C38" s="8">
        <f>B38/Overview!$B$8</f>
        <v>6.8211895956759964E-3</v>
      </c>
    </row>
    <row r="39" spans="1:3" x14ac:dyDescent="0.3">
      <c r="A39" s="4" t="s">
        <v>127</v>
      </c>
      <c r="B39" s="5">
        <v>1066</v>
      </c>
      <c r="C39" s="8">
        <f>B39/Overview!$B$8</f>
        <v>6.5923736255581256E-3</v>
      </c>
    </row>
    <row r="40" spans="1:3" x14ac:dyDescent="0.3">
      <c r="A40" s="4" t="s">
        <v>213</v>
      </c>
      <c r="B40" s="5">
        <v>1065</v>
      </c>
      <c r="C40" s="8">
        <f>B40/Overview!$B$8</f>
        <v>6.5861894101495342E-3</v>
      </c>
    </row>
    <row r="41" spans="1:3" x14ac:dyDescent="0.3">
      <c r="A41" s="4" t="s">
        <v>297</v>
      </c>
      <c r="B41" s="5">
        <v>1025</v>
      </c>
      <c r="C41" s="8">
        <f>B41/Overview!$B$8</f>
        <v>6.3388207938058902E-3</v>
      </c>
    </row>
    <row r="42" spans="1:3" x14ac:dyDescent="0.3">
      <c r="A42" s="4" t="s">
        <v>238</v>
      </c>
      <c r="B42" s="5">
        <v>1019</v>
      </c>
      <c r="C42" s="8">
        <f>B42/Overview!$B$8</f>
        <v>6.3017155013543429E-3</v>
      </c>
    </row>
    <row r="43" spans="1:3" x14ac:dyDescent="0.3">
      <c r="A43" s="4" t="s">
        <v>298</v>
      </c>
      <c r="B43" s="5">
        <v>885</v>
      </c>
      <c r="C43" s="8">
        <f>B43/Overview!$B$8</f>
        <v>5.4730306366031342E-3</v>
      </c>
    </row>
    <row r="44" spans="1:3" x14ac:dyDescent="0.3">
      <c r="A44" s="4" t="s">
        <v>214</v>
      </c>
      <c r="B44" s="5">
        <v>847</v>
      </c>
      <c r="C44" s="8">
        <f>B44/Overview!$B$8</f>
        <v>5.238030451076672E-3</v>
      </c>
    </row>
    <row r="45" spans="1:3" x14ac:dyDescent="0.3">
      <c r="A45" s="4" t="s">
        <v>299</v>
      </c>
      <c r="B45" s="5">
        <v>755</v>
      </c>
      <c r="C45" s="8">
        <f>B45/Overview!$B$8</f>
        <v>4.6690826334862892E-3</v>
      </c>
    </row>
    <row r="46" spans="1:3" x14ac:dyDescent="0.3">
      <c r="A46" s="4" t="s">
        <v>300</v>
      </c>
      <c r="B46" s="5">
        <v>749</v>
      </c>
      <c r="C46" s="8">
        <f>B46/Overview!$B$8</f>
        <v>4.6319773410347428E-3</v>
      </c>
    </row>
    <row r="47" spans="1:3" x14ac:dyDescent="0.3">
      <c r="A47" s="4" t="s">
        <v>301</v>
      </c>
      <c r="B47" s="5">
        <v>742</v>
      </c>
      <c r="C47" s="8">
        <f>B47/Overview!$B$8</f>
        <v>4.588687833174605E-3</v>
      </c>
    </row>
    <row r="48" spans="1:3" x14ac:dyDescent="0.3">
      <c r="A48" s="4" t="s">
        <v>302</v>
      </c>
      <c r="B48" s="5">
        <v>741</v>
      </c>
      <c r="C48" s="8">
        <f>B48/Overview!$B$8</f>
        <v>4.5825036177660136E-3</v>
      </c>
    </row>
    <row r="49" spans="1:3" x14ac:dyDescent="0.3">
      <c r="A49" s="4" t="s">
        <v>303</v>
      </c>
      <c r="B49" s="5">
        <v>691</v>
      </c>
      <c r="C49" s="8">
        <f>B49/Overview!$B$8</f>
        <v>4.2732928473364585E-3</v>
      </c>
    </row>
    <row r="50" spans="1:3" x14ac:dyDescent="0.3">
      <c r="A50" s="4" t="s">
        <v>150</v>
      </c>
      <c r="B50" s="5">
        <v>646</v>
      </c>
      <c r="C50" s="8">
        <f>B50/Overview!$B$8</f>
        <v>3.9950031539498585E-3</v>
      </c>
    </row>
    <row r="51" spans="1:3" x14ac:dyDescent="0.3">
      <c r="A51" s="4" t="s">
        <v>154</v>
      </c>
      <c r="B51" s="5">
        <v>642</v>
      </c>
      <c r="C51" s="8">
        <f>B51/Overview!$B$8</f>
        <v>3.9702662923154939E-3</v>
      </c>
    </row>
    <row r="52" spans="1:3" x14ac:dyDescent="0.3">
      <c r="A52" s="4" t="s">
        <v>244</v>
      </c>
      <c r="B52" s="5">
        <v>635</v>
      </c>
      <c r="C52" s="8">
        <f>B52/Overview!$B$8</f>
        <v>3.9269767844553561E-3</v>
      </c>
    </row>
    <row r="53" spans="1:3" x14ac:dyDescent="0.3">
      <c r="A53" s="4" t="s">
        <v>304</v>
      </c>
      <c r="B53" s="5">
        <v>617</v>
      </c>
      <c r="C53" s="8">
        <f>B53/Overview!$B$8</f>
        <v>3.815660907100716E-3</v>
      </c>
    </row>
    <row r="54" spans="1:3" x14ac:dyDescent="0.3">
      <c r="A54" s="4" t="s">
        <v>305</v>
      </c>
      <c r="B54" s="5">
        <v>560</v>
      </c>
      <c r="C54" s="8">
        <f>B54/Overview!$B$8</f>
        <v>3.4631606288110226E-3</v>
      </c>
    </row>
    <row r="55" spans="1:3" x14ac:dyDescent="0.3">
      <c r="A55" s="4" t="s">
        <v>306</v>
      </c>
      <c r="B55" s="5">
        <v>539</v>
      </c>
      <c r="C55" s="8">
        <f>B55/Overview!$B$8</f>
        <v>3.3332921052306092E-3</v>
      </c>
    </row>
    <row r="56" spans="1:3" x14ac:dyDescent="0.3">
      <c r="A56" s="4" t="s">
        <v>307</v>
      </c>
      <c r="B56" s="5">
        <v>526</v>
      </c>
      <c r="C56" s="8">
        <f>B56/Overview!$B$8</f>
        <v>3.252897304918925E-3</v>
      </c>
    </row>
    <row r="57" spans="1:3" x14ac:dyDescent="0.3">
      <c r="A57" s="4" t="s">
        <v>242</v>
      </c>
      <c r="B57" s="5">
        <v>462</v>
      </c>
      <c r="C57" s="8">
        <f>B57/Overview!$B$8</f>
        <v>2.8571075187690939E-3</v>
      </c>
    </row>
    <row r="58" spans="1:3" x14ac:dyDescent="0.3">
      <c r="A58" s="4" t="s">
        <v>308</v>
      </c>
      <c r="B58" s="5">
        <v>435</v>
      </c>
      <c r="C58" s="8">
        <f>B58/Overview!$B$8</f>
        <v>2.6901337027371336E-3</v>
      </c>
    </row>
    <row r="59" spans="1:3" x14ac:dyDescent="0.3">
      <c r="A59" s="4" t="s">
        <v>135</v>
      </c>
      <c r="B59" s="5">
        <v>431</v>
      </c>
      <c r="C59" s="8">
        <f>B59/Overview!$B$8</f>
        <v>2.6653968411027695E-3</v>
      </c>
    </row>
    <row r="60" spans="1:3" x14ac:dyDescent="0.3">
      <c r="A60" s="4" t="s">
        <v>144</v>
      </c>
      <c r="B60" s="5">
        <v>426</v>
      </c>
      <c r="C60" s="8">
        <f>B60/Overview!$B$8</f>
        <v>2.6344757640598135E-3</v>
      </c>
    </row>
    <row r="61" spans="1:3" x14ac:dyDescent="0.3">
      <c r="A61" s="4" t="s">
        <v>309</v>
      </c>
      <c r="B61" s="5">
        <v>409</v>
      </c>
      <c r="C61" s="8">
        <f>B61/Overview!$B$8</f>
        <v>2.5293441021137647E-3</v>
      </c>
    </row>
    <row r="62" spans="1:3" x14ac:dyDescent="0.3">
      <c r="A62" s="4" t="s">
        <v>310</v>
      </c>
      <c r="B62" s="5">
        <v>400</v>
      </c>
      <c r="C62" s="8">
        <f>B62/Overview!$B$8</f>
        <v>2.4736861634364446E-3</v>
      </c>
    </row>
    <row r="63" spans="1:3" x14ac:dyDescent="0.3">
      <c r="A63" s="4" t="s">
        <v>311</v>
      </c>
      <c r="B63" s="5">
        <v>346</v>
      </c>
      <c r="C63" s="8">
        <f>B63/Overview!$B$8</f>
        <v>2.1397385313725249E-3</v>
      </c>
    </row>
    <row r="64" spans="1:3" x14ac:dyDescent="0.3">
      <c r="A64" s="4" t="s">
        <v>312</v>
      </c>
      <c r="B64" s="5">
        <v>343</v>
      </c>
      <c r="C64" s="8">
        <f>B64/Overview!$B$8</f>
        <v>2.1211858851467513E-3</v>
      </c>
    </row>
    <row r="65" spans="1:3" x14ac:dyDescent="0.3">
      <c r="A65" s="4" t="s">
        <v>166</v>
      </c>
      <c r="B65" s="5">
        <v>343</v>
      </c>
      <c r="C65" s="8">
        <f>B65/Overview!$B$8</f>
        <v>2.1211858851467513E-3</v>
      </c>
    </row>
    <row r="66" spans="1:3" x14ac:dyDescent="0.3">
      <c r="A66" s="4" t="s">
        <v>313</v>
      </c>
      <c r="B66" s="5">
        <v>327</v>
      </c>
      <c r="C66" s="8">
        <f>B66/Overview!$B$8</f>
        <v>2.0222384386092938E-3</v>
      </c>
    </row>
    <row r="67" spans="1:3" x14ac:dyDescent="0.3">
      <c r="A67" s="4" t="s">
        <v>215</v>
      </c>
      <c r="B67" s="5">
        <v>324</v>
      </c>
      <c r="C67" s="8">
        <f>B67/Overview!$B$8</f>
        <v>2.0036857923835202E-3</v>
      </c>
    </row>
    <row r="68" spans="1:3" x14ac:dyDescent="0.3">
      <c r="A68" s="4" t="s">
        <v>162</v>
      </c>
      <c r="B68" s="5">
        <v>311</v>
      </c>
      <c r="C68" s="8">
        <f>B68/Overview!$B$8</f>
        <v>1.9232909920718359E-3</v>
      </c>
    </row>
    <row r="69" spans="1:3" x14ac:dyDescent="0.3">
      <c r="A69" s="4" t="s">
        <v>168</v>
      </c>
      <c r="B69" s="5">
        <v>308</v>
      </c>
      <c r="C69" s="8">
        <f>B69/Overview!$B$8</f>
        <v>1.9047383458460625E-3</v>
      </c>
    </row>
    <row r="70" spans="1:3" x14ac:dyDescent="0.3">
      <c r="A70" s="4" t="s">
        <v>314</v>
      </c>
      <c r="B70" s="5">
        <v>291</v>
      </c>
      <c r="C70" s="8">
        <f>B70/Overview!$B$8</f>
        <v>1.7996066839000137E-3</v>
      </c>
    </row>
    <row r="71" spans="1:3" x14ac:dyDescent="0.3">
      <c r="A71" s="4" t="s">
        <v>315</v>
      </c>
      <c r="B71" s="5">
        <v>286</v>
      </c>
      <c r="C71" s="8">
        <f>B71/Overview!$B$8</f>
        <v>1.768685606857058E-3</v>
      </c>
    </row>
    <row r="72" spans="1:3" x14ac:dyDescent="0.3">
      <c r="A72" s="4" t="s">
        <v>316</v>
      </c>
      <c r="B72" s="5">
        <v>279</v>
      </c>
      <c r="C72" s="8">
        <f>B72/Overview!$B$8</f>
        <v>1.7253960989969202E-3</v>
      </c>
    </row>
    <row r="73" spans="1:3" x14ac:dyDescent="0.3">
      <c r="A73" s="4" t="s">
        <v>140</v>
      </c>
      <c r="B73" s="5">
        <v>276</v>
      </c>
      <c r="C73" s="8">
        <f>B73/Overview!$B$8</f>
        <v>1.706843452771147E-3</v>
      </c>
    </row>
    <row r="74" spans="1:3" x14ac:dyDescent="0.3">
      <c r="A74" s="4" t="s">
        <v>221</v>
      </c>
      <c r="B74" s="5">
        <v>274</v>
      </c>
      <c r="C74" s="8">
        <f>B74/Overview!$B$8</f>
        <v>1.6944750219539647E-3</v>
      </c>
    </row>
    <row r="75" spans="1:3" x14ac:dyDescent="0.3">
      <c r="A75" s="4" t="s">
        <v>317</v>
      </c>
      <c r="B75" s="5">
        <v>271</v>
      </c>
      <c r="C75" s="8">
        <f>B75/Overview!$B$8</f>
        <v>1.6759223757281914E-3</v>
      </c>
    </row>
    <row r="76" spans="1:3" x14ac:dyDescent="0.3">
      <c r="A76" s="4" t="s">
        <v>318</v>
      </c>
      <c r="B76" s="5">
        <v>259</v>
      </c>
      <c r="C76" s="8">
        <f>B76/Overview!$B$8</f>
        <v>1.6017117908250979E-3</v>
      </c>
    </row>
    <row r="77" spans="1:3" x14ac:dyDescent="0.3">
      <c r="A77" s="4" t="s">
        <v>156</v>
      </c>
      <c r="B77" s="5">
        <v>257</v>
      </c>
      <c r="C77" s="8">
        <f>B77/Overview!$B$8</f>
        <v>1.5893433600079158E-3</v>
      </c>
    </row>
    <row r="78" spans="1:3" x14ac:dyDescent="0.3">
      <c r="A78" s="4" t="s">
        <v>319</v>
      </c>
      <c r="B78" s="5">
        <v>254</v>
      </c>
      <c r="C78" s="8">
        <f>B78/Overview!$B$8</f>
        <v>1.5707907137821424E-3</v>
      </c>
    </row>
    <row r="79" spans="1:3" x14ac:dyDescent="0.3">
      <c r="A79" s="4" t="s">
        <v>320</v>
      </c>
      <c r="B79" s="5">
        <v>244</v>
      </c>
      <c r="C79" s="8">
        <f>B79/Overview!$B$8</f>
        <v>1.5089485596962314E-3</v>
      </c>
    </row>
    <row r="80" spans="1:3" x14ac:dyDescent="0.3">
      <c r="A80" s="4" t="s">
        <v>321</v>
      </c>
      <c r="B80" s="5">
        <v>238</v>
      </c>
      <c r="C80" s="8">
        <f>B80/Overview!$B$8</f>
        <v>1.4718432672446847E-3</v>
      </c>
    </row>
    <row r="81" spans="1:3" x14ac:dyDescent="0.3">
      <c r="A81" s="4" t="s">
        <v>220</v>
      </c>
      <c r="B81" s="5">
        <v>237</v>
      </c>
      <c r="C81" s="8">
        <f>B81/Overview!$B$8</f>
        <v>1.4656590518360936E-3</v>
      </c>
    </row>
    <row r="82" spans="1:3" x14ac:dyDescent="0.3">
      <c r="A82" s="4" t="s">
        <v>322</v>
      </c>
      <c r="B82" s="5">
        <v>236</v>
      </c>
      <c r="C82" s="8">
        <f>B82/Overview!$B$8</f>
        <v>1.4594748364275024E-3</v>
      </c>
    </row>
    <row r="83" spans="1:3" x14ac:dyDescent="0.3">
      <c r="A83" s="4" t="s">
        <v>323</v>
      </c>
      <c r="B83" s="5">
        <v>235</v>
      </c>
      <c r="C83" s="8">
        <f>B83/Overview!$B$8</f>
        <v>1.4532906210189113E-3</v>
      </c>
    </row>
    <row r="84" spans="1:3" x14ac:dyDescent="0.3">
      <c r="A84" s="4" t="s">
        <v>324</v>
      </c>
      <c r="B84" s="5">
        <v>225</v>
      </c>
      <c r="C84" s="8">
        <f>B84/Overview!$B$8</f>
        <v>1.3914484669330003E-3</v>
      </c>
    </row>
    <row r="85" spans="1:3" x14ac:dyDescent="0.3">
      <c r="A85" s="4" t="s">
        <v>325</v>
      </c>
      <c r="B85" s="5">
        <v>224</v>
      </c>
      <c r="C85" s="8">
        <f>B85/Overview!$B$8</f>
        <v>1.3852642515244091E-3</v>
      </c>
    </row>
    <row r="86" spans="1:3" x14ac:dyDescent="0.3">
      <c r="A86" s="4" t="s">
        <v>326</v>
      </c>
      <c r="B86" s="5">
        <v>213</v>
      </c>
      <c r="C86" s="8">
        <f>B86/Overview!$B$8</f>
        <v>1.3172378820299068E-3</v>
      </c>
    </row>
    <row r="87" spans="1:3" x14ac:dyDescent="0.3">
      <c r="A87" s="4" t="s">
        <v>327</v>
      </c>
      <c r="B87" s="5">
        <v>210</v>
      </c>
      <c r="C87" s="8">
        <f>B87/Overview!$B$8</f>
        <v>1.2986852358041335E-3</v>
      </c>
    </row>
    <row r="88" spans="1:3" x14ac:dyDescent="0.3">
      <c r="A88" s="4" t="s">
        <v>246</v>
      </c>
      <c r="B88" s="5">
        <v>208</v>
      </c>
      <c r="C88" s="8">
        <f>B88/Overview!$B$8</f>
        <v>1.2863168049869513E-3</v>
      </c>
    </row>
    <row r="89" spans="1:3" x14ac:dyDescent="0.3">
      <c r="A89" s="4" t="s">
        <v>148</v>
      </c>
      <c r="B89" s="5">
        <v>208</v>
      </c>
      <c r="C89" s="8">
        <f>B89/Overview!$B$8</f>
        <v>1.2863168049869513E-3</v>
      </c>
    </row>
    <row r="90" spans="1:3" x14ac:dyDescent="0.3">
      <c r="A90" s="4" t="s">
        <v>328</v>
      </c>
      <c r="B90" s="5">
        <v>201</v>
      </c>
      <c r="C90" s="8">
        <f>B90/Overview!$B$8</f>
        <v>1.2430272971268135E-3</v>
      </c>
    </row>
    <row r="91" spans="1:3" x14ac:dyDescent="0.3">
      <c r="A91" s="4" t="s">
        <v>174</v>
      </c>
      <c r="B91" s="5">
        <v>198</v>
      </c>
      <c r="C91" s="8">
        <f>B91/Overview!$B$8</f>
        <v>1.2244746509010402E-3</v>
      </c>
    </row>
    <row r="92" spans="1:3" x14ac:dyDescent="0.3">
      <c r="A92" s="4" t="s">
        <v>329</v>
      </c>
      <c r="B92" s="5">
        <v>185</v>
      </c>
      <c r="C92" s="8">
        <f>B92/Overview!$B$8</f>
        <v>1.1440798505893558E-3</v>
      </c>
    </row>
    <row r="93" spans="1:3" x14ac:dyDescent="0.3">
      <c r="A93" s="4" t="s">
        <v>330</v>
      </c>
      <c r="B93" s="5">
        <v>180</v>
      </c>
      <c r="C93" s="8">
        <f>B93/Overview!$B$8</f>
        <v>1.1131587735464003E-3</v>
      </c>
    </row>
    <row r="94" spans="1:3" x14ac:dyDescent="0.3">
      <c r="A94" s="4" t="s">
        <v>226</v>
      </c>
      <c r="B94" s="5">
        <v>167</v>
      </c>
      <c r="C94" s="8">
        <f>B94/Overview!$B$8</f>
        <v>1.0327639732347158E-3</v>
      </c>
    </row>
    <row r="95" spans="1:3" x14ac:dyDescent="0.3">
      <c r="A95" s="4" t="s">
        <v>164</v>
      </c>
      <c r="B95" s="5">
        <v>164</v>
      </c>
      <c r="C95" s="8">
        <f>B95/Overview!$B$8</f>
        <v>1.0142113270089424E-3</v>
      </c>
    </row>
    <row r="96" spans="1:3" x14ac:dyDescent="0.3">
      <c r="A96" s="4" t="s">
        <v>222</v>
      </c>
      <c r="B96" s="5">
        <v>157</v>
      </c>
      <c r="C96" s="8">
        <f>B96/Overview!$B$8</f>
        <v>9.7092181914880458E-4</v>
      </c>
    </row>
    <row r="97" spans="1:3" x14ac:dyDescent="0.3">
      <c r="A97" s="4" t="s">
        <v>223</v>
      </c>
      <c r="B97" s="5">
        <v>155</v>
      </c>
      <c r="C97" s="8">
        <f>B97/Overview!$B$8</f>
        <v>9.585533883316224E-4</v>
      </c>
    </row>
    <row r="98" spans="1:3" x14ac:dyDescent="0.3">
      <c r="A98" s="4" t="s">
        <v>331</v>
      </c>
      <c r="B98" s="5">
        <v>153</v>
      </c>
      <c r="C98" s="8">
        <f>B98/Overview!$B$8</f>
        <v>9.4618495751444011E-4</v>
      </c>
    </row>
    <row r="99" spans="1:3" x14ac:dyDescent="0.3">
      <c r="A99" s="4" t="s">
        <v>178</v>
      </c>
      <c r="B99" s="5">
        <v>151</v>
      </c>
      <c r="C99" s="8">
        <f>B99/Overview!$B$8</f>
        <v>9.3381652669725793E-4</v>
      </c>
    </row>
    <row r="100" spans="1:3" x14ac:dyDescent="0.3">
      <c r="A100" s="4" t="s">
        <v>224</v>
      </c>
      <c r="B100" s="5">
        <v>141</v>
      </c>
      <c r="C100" s="8">
        <f>B100/Overview!$B$8</f>
        <v>8.719743726113468E-4</v>
      </c>
    </row>
    <row r="101" spans="1:3" x14ac:dyDescent="0.3">
      <c r="A101" s="4" t="s">
        <v>225</v>
      </c>
      <c r="B101" s="5">
        <v>138</v>
      </c>
      <c r="C101" s="8">
        <f>B101/Overview!$B$8</f>
        <v>8.5342172638557348E-4</v>
      </c>
    </row>
    <row r="102" spans="1:3" x14ac:dyDescent="0.3">
      <c r="A102" s="4" t="s">
        <v>158</v>
      </c>
      <c r="B102" s="5">
        <v>136</v>
      </c>
      <c r="C102" s="8">
        <f>B102/Overview!$B$8</f>
        <v>8.4105329556839119E-4</v>
      </c>
    </row>
    <row r="103" spans="1:3" x14ac:dyDescent="0.3">
      <c r="A103" s="4" t="s">
        <v>160</v>
      </c>
      <c r="B103" s="5">
        <v>135</v>
      </c>
      <c r="C103" s="8">
        <f>B103/Overview!$B$8</f>
        <v>8.3486908015980015E-4</v>
      </c>
    </row>
    <row r="104" spans="1:3" x14ac:dyDescent="0.3">
      <c r="A104" s="4" t="s">
        <v>281</v>
      </c>
      <c r="B104" s="5">
        <v>133</v>
      </c>
      <c r="C104" s="8">
        <f>B104/Overview!$B$8</f>
        <v>8.2250064934261786E-4</v>
      </c>
    </row>
    <row r="105" spans="1:3" x14ac:dyDescent="0.3">
      <c r="A105" s="4" t="s">
        <v>248</v>
      </c>
      <c r="B105" s="5">
        <v>128</v>
      </c>
      <c r="C105" s="8">
        <f>B105/Overview!$B$8</f>
        <v>7.9157957229966235E-4</v>
      </c>
    </row>
    <row r="106" spans="1:3" x14ac:dyDescent="0.3">
      <c r="A106" s="4" t="s">
        <v>227</v>
      </c>
      <c r="B106" s="5">
        <v>117</v>
      </c>
      <c r="C106" s="8">
        <f>B106/Overview!$B$8</f>
        <v>7.2355320280516008E-4</v>
      </c>
    </row>
    <row r="107" spans="1:3" x14ac:dyDescent="0.3">
      <c r="A107" s="4" t="s">
        <v>332</v>
      </c>
      <c r="B107" s="5">
        <v>111</v>
      </c>
      <c r="C107" s="8">
        <f>B107/Overview!$B$8</f>
        <v>6.8644791035361342E-4</v>
      </c>
    </row>
    <row r="108" spans="1:3" x14ac:dyDescent="0.3">
      <c r="A108" s="4" t="s">
        <v>170</v>
      </c>
      <c r="B108" s="5">
        <v>105</v>
      </c>
      <c r="C108" s="8">
        <f>B108/Overview!$B$8</f>
        <v>6.4934261790206677E-4</v>
      </c>
    </row>
    <row r="109" spans="1:3" x14ac:dyDescent="0.3">
      <c r="A109" s="4" t="s">
        <v>333</v>
      </c>
      <c r="B109" s="5">
        <v>92</v>
      </c>
      <c r="C109" s="8">
        <f>B109/Overview!$B$8</f>
        <v>5.6894781759038232E-4</v>
      </c>
    </row>
    <row r="110" spans="1:3" x14ac:dyDescent="0.3">
      <c r="A110" s="4" t="s">
        <v>228</v>
      </c>
      <c r="B110" s="5">
        <v>90</v>
      </c>
      <c r="C110" s="8">
        <f>B110/Overview!$B$8</f>
        <v>5.5657938677320014E-4</v>
      </c>
    </row>
    <row r="111" spans="1:3" x14ac:dyDescent="0.3">
      <c r="A111" s="4" t="s">
        <v>184</v>
      </c>
      <c r="B111" s="5">
        <v>89</v>
      </c>
      <c r="C111" s="8">
        <f>B111/Overview!$B$8</f>
        <v>5.5039517136460899E-4</v>
      </c>
    </row>
    <row r="112" spans="1:3" x14ac:dyDescent="0.3">
      <c r="A112" s="4" t="s">
        <v>229</v>
      </c>
      <c r="B112" s="5">
        <v>86</v>
      </c>
      <c r="C112" s="8">
        <f>B112/Overview!$B$8</f>
        <v>5.3184252513883566E-4</v>
      </c>
    </row>
    <row r="113" spans="1:3" x14ac:dyDescent="0.3">
      <c r="A113" s="4" t="s">
        <v>186</v>
      </c>
      <c r="B113" s="5">
        <v>83</v>
      </c>
      <c r="C113" s="8">
        <f>B113/Overview!$B$8</f>
        <v>5.1328987891306234E-4</v>
      </c>
    </row>
    <row r="114" spans="1:3" x14ac:dyDescent="0.3">
      <c r="A114" s="4" t="s">
        <v>180</v>
      </c>
      <c r="B114" s="5">
        <v>77</v>
      </c>
      <c r="C114" s="8">
        <f>B114/Overview!$B$8</f>
        <v>4.7618458646151563E-4</v>
      </c>
    </row>
    <row r="115" spans="1:3" x14ac:dyDescent="0.3">
      <c r="A115" s="4" t="s">
        <v>230</v>
      </c>
      <c r="B115" s="5">
        <v>75</v>
      </c>
      <c r="C115" s="8">
        <f>B115/Overview!$B$8</f>
        <v>4.6381615564433339E-4</v>
      </c>
    </row>
    <row r="116" spans="1:3" x14ac:dyDescent="0.3">
      <c r="A116" s="4" t="s">
        <v>172</v>
      </c>
      <c r="B116" s="5">
        <v>73</v>
      </c>
      <c r="C116" s="8">
        <f>B116/Overview!$B$8</f>
        <v>4.5144772482715116E-4</v>
      </c>
    </row>
    <row r="117" spans="1:3" x14ac:dyDescent="0.3">
      <c r="A117" s="4" t="s">
        <v>188</v>
      </c>
      <c r="B117" s="5">
        <v>68</v>
      </c>
      <c r="C117" s="8">
        <f>B117/Overview!$B$8</f>
        <v>4.2052664778419559E-4</v>
      </c>
    </row>
    <row r="118" spans="1:3" x14ac:dyDescent="0.3">
      <c r="A118" s="4" t="s">
        <v>231</v>
      </c>
      <c r="B118" s="5">
        <v>63</v>
      </c>
      <c r="C118" s="8">
        <f>B118/Overview!$B$8</f>
        <v>3.8960557074124008E-4</v>
      </c>
    </row>
    <row r="119" spans="1:3" x14ac:dyDescent="0.3">
      <c r="A119" s="4" t="s">
        <v>334</v>
      </c>
      <c r="B119" s="5">
        <v>55</v>
      </c>
      <c r="C119" s="8">
        <f>B119/Overview!$B$8</f>
        <v>3.4013184747251114E-4</v>
      </c>
    </row>
    <row r="120" spans="1:3" x14ac:dyDescent="0.3">
      <c r="A120" s="4" t="s">
        <v>182</v>
      </c>
      <c r="B120" s="5">
        <v>53</v>
      </c>
      <c r="C120" s="8">
        <f>B120/Overview!$B$8</f>
        <v>3.2776341665532896E-4</v>
      </c>
    </row>
    <row r="121" spans="1:3" x14ac:dyDescent="0.3">
      <c r="A121" s="4" t="s">
        <v>282</v>
      </c>
      <c r="B121" s="5">
        <v>48</v>
      </c>
      <c r="C121" s="8">
        <f>B121/Overview!$B$8</f>
        <v>2.9684233961237339E-4</v>
      </c>
    </row>
    <row r="122" spans="1:3" x14ac:dyDescent="0.3">
      <c r="A122" s="4" t="s">
        <v>216</v>
      </c>
      <c r="B122" s="5">
        <v>47</v>
      </c>
      <c r="C122" s="8">
        <f>B122/Overview!$B$8</f>
        <v>2.9065812420378225E-4</v>
      </c>
    </row>
    <row r="123" spans="1:3" x14ac:dyDescent="0.3">
      <c r="A123" s="4" t="s">
        <v>335</v>
      </c>
      <c r="B123" s="5">
        <v>47</v>
      </c>
      <c r="C123" s="8">
        <f>B123/Overview!$B$8</f>
        <v>2.9065812420378225E-4</v>
      </c>
    </row>
    <row r="124" spans="1:3" x14ac:dyDescent="0.3">
      <c r="A124" s="4" t="s">
        <v>336</v>
      </c>
      <c r="B124" s="5">
        <v>45</v>
      </c>
      <c r="C124" s="8">
        <f>B124/Overview!$B$8</f>
        <v>2.7828969338660007E-4</v>
      </c>
    </row>
    <row r="125" spans="1:3" x14ac:dyDescent="0.3">
      <c r="A125" s="4" t="s">
        <v>337</v>
      </c>
      <c r="B125" s="5">
        <v>44</v>
      </c>
      <c r="C125" s="8">
        <f>B125/Overview!$B$8</f>
        <v>2.7210547797800892E-4</v>
      </c>
    </row>
    <row r="126" spans="1:3" x14ac:dyDescent="0.3">
      <c r="A126" s="4" t="s">
        <v>338</v>
      </c>
      <c r="B126" s="5">
        <v>43</v>
      </c>
      <c r="C126" s="8">
        <f>B126/Overview!$B$8</f>
        <v>2.6592126256941783E-4</v>
      </c>
    </row>
    <row r="127" spans="1:3" x14ac:dyDescent="0.3">
      <c r="A127" s="4" t="s">
        <v>339</v>
      </c>
      <c r="B127" s="5">
        <v>39</v>
      </c>
      <c r="C127" s="8">
        <f>B127/Overview!$B$8</f>
        <v>2.4118440093505336E-4</v>
      </c>
    </row>
    <row r="128" spans="1:3" x14ac:dyDescent="0.3">
      <c r="A128" s="4" t="s">
        <v>340</v>
      </c>
      <c r="B128" s="5">
        <v>37</v>
      </c>
      <c r="C128" s="8">
        <f>B128/Overview!$B$8</f>
        <v>2.2881597011787115E-4</v>
      </c>
    </row>
    <row r="129" spans="1:3" x14ac:dyDescent="0.3">
      <c r="A129" s="4" t="s">
        <v>190</v>
      </c>
      <c r="B129" s="5">
        <v>36</v>
      </c>
      <c r="C129" s="8">
        <f>B129/Overview!$B$8</f>
        <v>2.2263175470928003E-4</v>
      </c>
    </row>
    <row r="130" spans="1:3" x14ac:dyDescent="0.3">
      <c r="A130" s="4" t="s">
        <v>341</v>
      </c>
      <c r="B130" s="5">
        <v>36</v>
      </c>
      <c r="C130" s="8">
        <f>B130/Overview!$B$8</f>
        <v>2.2263175470928003E-4</v>
      </c>
    </row>
    <row r="131" spans="1:3" x14ac:dyDescent="0.3">
      <c r="A131" s="4" t="s">
        <v>198</v>
      </c>
      <c r="B131" s="5">
        <v>33</v>
      </c>
      <c r="C131" s="8">
        <f>B131/Overview!$B$8</f>
        <v>2.0407910848350671E-4</v>
      </c>
    </row>
    <row r="132" spans="1:3" x14ac:dyDescent="0.3">
      <c r="A132" s="4" t="s">
        <v>194</v>
      </c>
      <c r="B132" s="5">
        <v>31</v>
      </c>
      <c r="C132" s="8">
        <f>B132/Overview!$B$8</f>
        <v>1.9171067766632447E-4</v>
      </c>
    </row>
    <row r="133" spans="1:3" x14ac:dyDescent="0.3">
      <c r="A133" s="4" t="s">
        <v>342</v>
      </c>
      <c r="B133" s="5">
        <v>27</v>
      </c>
      <c r="C133" s="8">
        <f>B133/Overview!$B$8</f>
        <v>1.6697381603196002E-4</v>
      </c>
    </row>
    <row r="134" spans="1:3" x14ac:dyDescent="0.3">
      <c r="A134" s="4" t="s">
        <v>192</v>
      </c>
      <c r="B134" s="5">
        <v>23</v>
      </c>
      <c r="C134" s="8">
        <f>B134/Overview!$B$8</f>
        <v>1.4223695439759558E-4</v>
      </c>
    </row>
    <row r="135" spans="1:3" x14ac:dyDescent="0.3">
      <c r="A135" s="4" t="s">
        <v>343</v>
      </c>
      <c r="B135" s="5">
        <v>23</v>
      </c>
      <c r="C135" s="8">
        <f>B135/Overview!$B$8</f>
        <v>1.4223695439759558E-4</v>
      </c>
    </row>
    <row r="136" spans="1:3" x14ac:dyDescent="0.3">
      <c r="A136" s="4" t="s">
        <v>344</v>
      </c>
      <c r="B136" s="5">
        <v>21</v>
      </c>
      <c r="C136" s="8">
        <f>B136/Overview!$B$8</f>
        <v>1.2986852358041334E-4</v>
      </c>
    </row>
    <row r="137" spans="1:3" x14ac:dyDescent="0.3">
      <c r="A137" s="4" t="s">
        <v>345</v>
      </c>
      <c r="B137" s="5">
        <v>19</v>
      </c>
      <c r="C137" s="8">
        <f>B137/Overview!$B$8</f>
        <v>1.1750009276323113E-4</v>
      </c>
    </row>
    <row r="138" spans="1:3" x14ac:dyDescent="0.3">
      <c r="A138" s="4" t="s">
        <v>346</v>
      </c>
      <c r="B138" s="5">
        <v>18</v>
      </c>
      <c r="C138" s="8">
        <f>B138/Overview!$B$8</f>
        <v>1.1131587735464002E-4</v>
      </c>
    </row>
    <row r="139" spans="1:3" x14ac:dyDescent="0.3">
      <c r="A139" s="4" t="s">
        <v>347</v>
      </c>
      <c r="B139" s="5">
        <v>15</v>
      </c>
      <c r="C139" s="8">
        <f>B139/Overview!$B$8</f>
        <v>9.2763231128866676E-5</v>
      </c>
    </row>
    <row r="140" spans="1:3" x14ac:dyDescent="0.3">
      <c r="A140" s="4" t="s">
        <v>348</v>
      </c>
      <c r="B140" s="5">
        <v>11</v>
      </c>
      <c r="C140" s="8">
        <f>B140/Overview!$B$8</f>
        <v>6.8026369494502231E-5</v>
      </c>
    </row>
    <row r="141" spans="1:3" x14ac:dyDescent="0.3">
      <c r="A141" s="4" t="s">
        <v>349</v>
      </c>
      <c r="B141" s="5">
        <v>10</v>
      </c>
      <c r="C141" s="8">
        <f>B141/Overview!$B$8</f>
        <v>6.1842154085911126E-5</v>
      </c>
    </row>
    <row r="142" spans="1:3" x14ac:dyDescent="0.3">
      <c r="A142" s="4" t="s">
        <v>350</v>
      </c>
      <c r="B142" s="5">
        <v>10</v>
      </c>
      <c r="C142" s="8">
        <f>B142/Overview!$B$8</f>
        <v>6.1842154085911126E-5</v>
      </c>
    </row>
    <row r="143" spans="1:3" x14ac:dyDescent="0.3">
      <c r="A143" s="4" t="s">
        <v>196</v>
      </c>
      <c r="B143" s="5">
        <v>6</v>
      </c>
      <c r="C143" s="8">
        <f>B143/Overview!$B$8</f>
        <v>3.7105292451546674E-5</v>
      </c>
    </row>
    <row r="144" spans="1:3" x14ac:dyDescent="0.3">
      <c r="A144" s="4" t="s">
        <v>351</v>
      </c>
      <c r="B144" s="5">
        <v>3</v>
      </c>
      <c r="C144" s="8">
        <f>B144/Overview!$B$8</f>
        <v>1.8552646225773337E-5</v>
      </c>
    </row>
    <row r="145" spans="1:3" x14ac:dyDescent="0.3">
      <c r="A145" s="4" t="s">
        <v>352</v>
      </c>
      <c r="B145" s="5">
        <v>1</v>
      </c>
      <c r="C145" s="8">
        <f>B145/Overview!$B$8</f>
        <v>6.1842154085911121E-6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4"/>
  <sheetViews>
    <sheetView workbookViewId="0"/>
  </sheetViews>
  <sheetFormatPr defaultRowHeight="14.4" x14ac:dyDescent="0.3"/>
  <cols>
    <col min="1" max="1" width="42" customWidth="1"/>
    <col min="2" max="2" width="14" customWidth="1"/>
    <col min="3" max="3" width="36" customWidth="1"/>
  </cols>
  <sheetData>
    <row r="1" spans="1:3" ht="17.399999999999999" x14ac:dyDescent="0.3">
      <c r="A1" s="1" t="s">
        <v>6</v>
      </c>
    </row>
    <row r="2" spans="1:3" x14ac:dyDescent="0.3">
      <c r="A2" s="2" t="s">
        <v>353</v>
      </c>
    </row>
    <row r="4" spans="1:3" x14ac:dyDescent="0.3">
      <c r="A4" s="6" t="s">
        <v>354</v>
      </c>
    </row>
    <row r="5" spans="1:3" x14ac:dyDescent="0.3">
      <c r="A5" s="3" t="s">
        <v>355</v>
      </c>
      <c r="B5" s="3" t="s">
        <v>34</v>
      </c>
      <c r="C5" s="3" t="s">
        <v>356</v>
      </c>
    </row>
    <row r="6" spans="1:3" x14ac:dyDescent="0.3">
      <c r="A6" s="4" t="s">
        <v>357</v>
      </c>
      <c r="B6" s="5">
        <v>52957</v>
      </c>
      <c r="C6" s="8">
        <f>B6/B$10</f>
        <v>0.48063204516164165</v>
      </c>
    </row>
    <row r="7" spans="1:3" x14ac:dyDescent="0.3">
      <c r="A7" s="4" t="s">
        <v>358</v>
      </c>
      <c r="B7" s="5">
        <v>50092</v>
      </c>
      <c r="C7" s="8">
        <f>B7/B$10</f>
        <v>0.45462961282242109</v>
      </c>
    </row>
    <row r="8" spans="1:3" x14ac:dyDescent="0.3">
      <c r="A8" s="4" t="s">
        <v>359</v>
      </c>
      <c r="B8" s="5">
        <v>7024</v>
      </c>
      <c r="C8" s="8">
        <f>B8/B$10</f>
        <v>6.3749069721007065E-2</v>
      </c>
    </row>
    <row r="9" spans="1:3" x14ac:dyDescent="0.3">
      <c r="A9" s="4" t="s">
        <v>360</v>
      </c>
      <c r="B9" s="5">
        <v>109</v>
      </c>
      <c r="C9" s="8">
        <f>B9/B$10</f>
        <v>9.8927229493020637E-4</v>
      </c>
    </row>
    <row r="10" spans="1:3" x14ac:dyDescent="0.3">
      <c r="A10" s="9" t="s">
        <v>117</v>
      </c>
      <c r="B10" s="10">
        <f>SUM(B6:B9)</f>
        <v>110182</v>
      </c>
      <c r="C10" s="11">
        <f>SUM(C6:C9)</f>
        <v>0.99999999999999989</v>
      </c>
    </row>
    <row r="12" spans="1:3" x14ac:dyDescent="0.3">
      <c r="A12" s="6" t="s">
        <v>361</v>
      </c>
    </row>
    <row r="13" spans="1:3" x14ac:dyDescent="0.3">
      <c r="A13" s="3" t="s">
        <v>355</v>
      </c>
      <c r="B13" s="3" t="s">
        <v>34</v>
      </c>
      <c r="C13" s="3" t="s">
        <v>356</v>
      </c>
    </row>
    <row r="14" spans="1:3" x14ac:dyDescent="0.3">
      <c r="A14" s="4" t="s">
        <v>362</v>
      </c>
      <c r="B14" s="5">
        <v>3605</v>
      </c>
      <c r="C14" s="8">
        <f t="shared" ref="C14:C19" si="0">B14/B$20</f>
        <v>3.271859287360912E-2</v>
      </c>
    </row>
    <row r="15" spans="1:3" x14ac:dyDescent="0.3">
      <c r="A15" s="4" t="s">
        <v>363</v>
      </c>
      <c r="B15" s="5">
        <v>16045</v>
      </c>
      <c r="C15" s="8">
        <f t="shared" si="0"/>
        <v>0.1456226969922492</v>
      </c>
    </row>
    <row r="16" spans="1:3" x14ac:dyDescent="0.3">
      <c r="A16" s="4" t="s">
        <v>364</v>
      </c>
      <c r="B16" s="5">
        <v>26605</v>
      </c>
      <c r="C16" s="8">
        <f t="shared" si="0"/>
        <v>0.24146412299649669</v>
      </c>
    </row>
    <row r="17" spans="1:3" x14ac:dyDescent="0.3">
      <c r="A17" s="4" t="s">
        <v>365</v>
      </c>
      <c r="B17" s="5">
        <v>34034</v>
      </c>
      <c r="C17" s="8">
        <f t="shared" si="0"/>
        <v>0.30888892922618938</v>
      </c>
    </row>
    <row r="18" spans="1:3" x14ac:dyDescent="0.3">
      <c r="A18" s="4" t="s">
        <v>366</v>
      </c>
      <c r="B18" s="5">
        <v>20241</v>
      </c>
      <c r="C18" s="8">
        <f t="shared" si="0"/>
        <v>0.18370514240075511</v>
      </c>
    </row>
    <row r="19" spans="1:3" x14ac:dyDescent="0.3">
      <c r="A19" s="4" t="s">
        <v>367</v>
      </c>
      <c r="B19" s="5">
        <v>9652</v>
      </c>
      <c r="C19" s="8">
        <f t="shared" si="0"/>
        <v>8.7600515510700472E-2</v>
      </c>
    </row>
    <row r="20" spans="1:3" x14ac:dyDescent="0.3">
      <c r="A20" s="9" t="s">
        <v>117</v>
      </c>
      <c r="B20" s="10">
        <f>SUM(B14:B19)</f>
        <v>110182</v>
      </c>
      <c r="C20" s="11">
        <f>SUM(C14:C19)</f>
        <v>0.99999999999999989</v>
      </c>
    </row>
    <row r="22" spans="1:3" x14ac:dyDescent="0.3">
      <c r="A22" s="6" t="s">
        <v>368</v>
      </c>
    </row>
    <row r="23" spans="1:3" x14ac:dyDescent="0.3">
      <c r="A23" s="3" t="s">
        <v>355</v>
      </c>
      <c r="B23" s="3" t="s">
        <v>34</v>
      </c>
      <c r="C23" s="3" t="s">
        <v>356</v>
      </c>
    </row>
    <row r="24" spans="1:3" x14ac:dyDescent="0.3">
      <c r="A24" s="4" t="s">
        <v>369</v>
      </c>
      <c r="B24" s="5">
        <v>68138</v>
      </c>
      <c r="C24" s="8">
        <f t="shared" ref="C24:C30" si="1">B24/B$31</f>
        <v>0.61841317093536152</v>
      </c>
    </row>
    <row r="25" spans="1:3" x14ac:dyDescent="0.3">
      <c r="A25" s="4" t="s">
        <v>370</v>
      </c>
      <c r="B25" s="5">
        <v>9002</v>
      </c>
      <c r="C25" s="8">
        <f t="shared" si="1"/>
        <v>8.17011853115754E-2</v>
      </c>
    </row>
    <row r="26" spans="1:3" x14ac:dyDescent="0.3">
      <c r="A26" s="4" t="s">
        <v>371</v>
      </c>
      <c r="B26" s="5">
        <v>8770</v>
      </c>
      <c r="C26" s="8">
        <f t="shared" si="1"/>
        <v>7.9595578225118438E-2</v>
      </c>
    </row>
    <row r="27" spans="1:3" x14ac:dyDescent="0.3">
      <c r="A27" s="4" t="s">
        <v>372</v>
      </c>
      <c r="B27" s="5">
        <v>6572</v>
      </c>
      <c r="C27" s="8">
        <f t="shared" si="1"/>
        <v>5.9646766259461616E-2</v>
      </c>
    </row>
    <row r="28" spans="1:3" x14ac:dyDescent="0.3">
      <c r="A28" s="4" t="s">
        <v>373</v>
      </c>
      <c r="B28" s="5">
        <v>8757</v>
      </c>
      <c r="C28" s="8">
        <f t="shared" si="1"/>
        <v>7.9477591621135935E-2</v>
      </c>
    </row>
    <row r="29" spans="1:3" x14ac:dyDescent="0.3">
      <c r="A29" s="4" t="s">
        <v>374</v>
      </c>
      <c r="B29" s="5">
        <v>7158</v>
      </c>
      <c r="C29" s="8">
        <f t="shared" si="1"/>
        <v>6.4965239331288227E-2</v>
      </c>
    </row>
    <row r="30" spans="1:3" x14ac:dyDescent="0.3">
      <c r="A30" s="4" t="s">
        <v>375</v>
      </c>
      <c r="B30" s="5">
        <v>1785</v>
      </c>
      <c r="C30" s="8">
        <f t="shared" si="1"/>
        <v>1.6200468316058883E-2</v>
      </c>
    </row>
    <row r="31" spans="1:3" x14ac:dyDescent="0.3">
      <c r="A31" s="9" t="s">
        <v>117</v>
      </c>
      <c r="B31" s="10">
        <f>SUM(B24:B30)</f>
        <v>110182</v>
      </c>
      <c r="C31" s="11">
        <f>SUM(C24:C30)</f>
        <v>1</v>
      </c>
    </row>
    <row r="33" spans="1:3" x14ac:dyDescent="0.3">
      <c r="A33" s="6" t="s">
        <v>376</v>
      </c>
    </row>
    <row r="34" spans="1:3" x14ac:dyDescent="0.3">
      <c r="A34" s="3" t="s">
        <v>377</v>
      </c>
      <c r="B34" s="3" t="s">
        <v>2</v>
      </c>
      <c r="C34" s="3" t="s">
        <v>378</v>
      </c>
    </row>
    <row r="35" spans="1:3" x14ac:dyDescent="0.3">
      <c r="A35" s="4" t="s">
        <v>379</v>
      </c>
      <c r="B35" s="5">
        <v>43</v>
      </c>
      <c r="C35" s="4" t="s">
        <v>380</v>
      </c>
    </row>
    <row r="36" spans="1:3" x14ac:dyDescent="0.3">
      <c r="A36" s="4" t="s">
        <v>381</v>
      </c>
      <c r="B36" s="17">
        <v>41.6</v>
      </c>
      <c r="C36" s="4"/>
    </row>
    <row r="37" spans="1:3" x14ac:dyDescent="0.3">
      <c r="A37" s="4" t="s">
        <v>382</v>
      </c>
      <c r="B37" s="5">
        <v>120</v>
      </c>
      <c r="C37" s="4" t="s">
        <v>383</v>
      </c>
    </row>
    <row r="38" spans="1:3" x14ac:dyDescent="0.3">
      <c r="A38" s="4" t="s">
        <v>384</v>
      </c>
      <c r="B38" s="5">
        <v>2506</v>
      </c>
      <c r="C38" s="4" t="s">
        <v>385</v>
      </c>
    </row>
    <row r="39" spans="1:3" x14ac:dyDescent="0.3">
      <c r="A39" s="4" t="s">
        <v>386</v>
      </c>
      <c r="B39" s="5" t="s">
        <v>387</v>
      </c>
      <c r="C39" s="4"/>
    </row>
    <row r="40" spans="1:3" x14ac:dyDescent="0.3">
      <c r="A40" s="4" t="s">
        <v>388</v>
      </c>
      <c r="B40" s="5">
        <v>79243</v>
      </c>
      <c r="C40" s="4" t="s">
        <v>389</v>
      </c>
    </row>
    <row r="41" spans="1:3" x14ac:dyDescent="0.3">
      <c r="A41" s="4" t="s">
        <v>390</v>
      </c>
      <c r="B41" s="5">
        <v>3</v>
      </c>
      <c r="C41" s="4"/>
    </row>
    <row r="42" spans="1:3" x14ac:dyDescent="0.3">
      <c r="A42" s="4" t="s">
        <v>391</v>
      </c>
      <c r="B42" s="5">
        <v>47</v>
      </c>
      <c r="C42" s="4"/>
    </row>
    <row r="44" spans="1:3" x14ac:dyDescent="0.3">
      <c r="A44" s="2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Data dictionary</vt:lpstr>
      <vt:lpstr>Image type</vt:lpstr>
      <vt:lpstr>Image subtype</vt:lpstr>
      <vt:lpstr>Type x Subtype</vt:lpstr>
      <vt:lpstr>Region</vt:lpstr>
      <vt:lpstr>Region (granular)</vt:lpstr>
      <vt:lpstr>View</vt:lpstr>
      <vt:lpstr>Licence</vt:lpstr>
      <vt:lpstr>Labels</vt:lpstr>
      <vt:lpstr>Semi labels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Yeow</cp:lastModifiedBy>
  <dcterms:created xsi:type="dcterms:W3CDTF">2026-10-14T08:30:57Z</dcterms:created>
  <dcterms:modified xsi:type="dcterms:W3CDTF">2026-10-14T08:34:26Z</dcterms:modified>
</cp:coreProperties>
</file>